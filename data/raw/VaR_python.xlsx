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alexander.ski/Desktop/Master/data/raw/"/>
    </mc:Choice>
  </mc:AlternateContent>
  <xr:revisionPtr revIDLastSave="0" documentId="13_ncr:1_{0682FFC4-3D99-3343-86C0-C38BB044BC10}" xr6:coauthVersionLast="47" xr6:coauthVersionMax="47" xr10:uidLastSave="{00000000-0000-0000-0000-000000000000}"/>
  <bookViews>
    <workbookView xWindow="0" yWindow="660" windowWidth="29400" windowHeight="18460" xr2:uid="{A70FF8A2-5C43-4F4A-944A-BD81035267D1}"/>
  </bookViews>
  <sheets>
    <sheet name="new" sheetId="3" r:id="rId1"/>
    <sheet name="gammel" sheetId="1" r:id="rId2"/>
    <sheet name="mellomberegning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9" i="3" l="1"/>
  <c r="J48" i="3"/>
  <c r="J47" i="3"/>
  <c r="J46" i="3"/>
  <c r="J45" i="3"/>
  <c r="J44" i="3"/>
  <c r="J43" i="3"/>
  <c r="J42" i="3"/>
  <c r="J41" i="3"/>
  <c r="J40" i="3"/>
  <c r="J39" i="3"/>
  <c r="J38" i="3"/>
  <c r="J37" i="3"/>
  <c r="J36" i="3"/>
  <c r="J35" i="3"/>
  <c r="J34" i="3"/>
  <c r="J33" i="3"/>
  <c r="J32" i="3"/>
  <c r="J31" i="3"/>
  <c r="J30" i="3"/>
  <c r="J29" i="3"/>
  <c r="J28" i="3"/>
  <c r="J27" i="3"/>
  <c r="J26" i="3"/>
  <c r="J25" i="3"/>
  <c r="J24" i="3"/>
  <c r="J23" i="3"/>
  <c r="J22" i="3"/>
  <c r="J21" i="3"/>
  <c r="J20" i="3"/>
  <c r="J19" i="3"/>
  <c r="J18" i="3"/>
  <c r="J17" i="3"/>
  <c r="J16" i="3"/>
  <c r="J15" i="3"/>
  <c r="J14" i="3"/>
  <c r="J13" i="3"/>
  <c r="J12" i="3"/>
  <c r="J11" i="3"/>
  <c r="J10" i="3"/>
  <c r="J9" i="3"/>
  <c r="J8" i="3"/>
  <c r="J7" i="3"/>
  <c r="J6" i="3"/>
  <c r="J5" i="3"/>
  <c r="J4" i="3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</calcChain>
</file>

<file path=xl/sharedStrings.xml><?xml version="1.0" encoding="utf-8"?>
<sst xmlns="http://schemas.openxmlformats.org/spreadsheetml/2006/main" count="32" uniqueCount="24">
  <si>
    <t>year</t>
  </si>
  <si>
    <t>Kolonne1</t>
  </si>
  <si>
    <t>Level</t>
  </si>
  <si>
    <t>Kolonne2</t>
  </si>
  <si>
    <t>keycorp</t>
  </si>
  <si>
    <t>bny</t>
  </si>
  <si>
    <t>statestreet</t>
  </si>
  <si>
    <t>citigroup</t>
  </si>
  <si>
    <t>wellsfargo</t>
  </si>
  <si>
    <t>goldmansachs</t>
  </si>
  <si>
    <t>morganstanley</t>
  </si>
  <si>
    <t>jpmorgan</t>
  </si>
  <si>
    <t>bank of america</t>
  </si>
  <si>
    <t>statestree</t>
  </si>
  <si>
    <t>Kolonne3</t>
  </si>
  <si>
    <t>Kolonne4</t>
  </si>
  <si>
    <t>Kolonne5</t>
  </si>
  <si>
    <t>Kolonne6</t>
  </si>
  <si>
    <t>Kolonne7</t>
  </si>
  <si>
    <t>Kolonne8</t>
  </si>
  <si>
    <t>Kolonne9</t>
  </si>
  <si>
    <t>Kolonne10</t>
  </si>
  <si>
    <t>Kolonne11</t>
  </si>
  <si>
    <t>bankofamerica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</si>
</sst>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"/>
    <numFmt numFmtId="165" formatCode="_-* #,##0.00_-;\-* #,##0.00_-;_-* &quot;-&quot;??_-;_-@_-"/>
  </numFmts>
  <fonts count="7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0"/>
      <color rgb="FF000000"/>
      <name val="Calibri"/>
      <family val="2"/>
    </font>
    <font>
      <sz val="11"/>
      <color rgb="FF000000"/>
      <name val="Aptos Narrow"/>
      <family val="2"/>
      <scheme val="minor"/>
    </font>
    <font>
      <b/>
      <sz val="10"/>
      <color rgb="FF000000"/>
      <name val="Calibri"/>
      <family val="2"/>
    </font>
    <font>
      <b/>
      <sz val="11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D9D9D9"/>
        <bgColor rgb="FFD9D9D9"/>
      </patternFill>
    </fill>
    <fill>
      <patternFill patternType="solid">
        <fgColor rgb="FFC0E6F5"/>
        <bgColor rgb="FFC0E6F5"/>
      </patternFill>
    </fill>
    <fill>
      <patternFill patternType="solid">
        <fgColor rgb="FFFBE2D5"/>
        <bgColor rgb="FFFBE2D5"/>
      </patternFill>
    </fill>
    <fill>
      <patternFill patternType="solid">
        <fgColor rgb="FFC1F0C8"/>
        <bgColor rgb="FFC1F0C8"/>
      </patternFill>
    </fill>
    <fill>
      <patternFill patternType="solid">
        <fgColor rgb="FFF2CEEF"/>
        <bgColor rgb="FFF2CEEF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  <diagonal/>
    </border>
    <border>
      <left style="thin">
        <color indexed="64"/>
      </left>
      <right style="thin">
        <color indexed="64"/>
      </right>
      <top/>
      <bottom style="thin">
        <color theme="1"/>
      </bottom>
      <diagonal/>
    </border>
    <border>
      <left style="thin">
        <color rgb="FFD5D8DB"/>
      </left>
      <right style="thin">
        <color rgb="FFD5D8DB"/>
      </right>
      <top/>
      <bottom style="thin">
        <color rgb="FFD5D8D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44B3E1"/>
      </top>
      <bottom style="thin">
        <color rgb="FF44B3E1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F1A983"/>
      </top>
      <bottom style="thin">
        <color rgb="FFF1A983"/>
      </bottom>
      <diagonal/>
    </border>
    <border>
      <left style="thin">
        <color indexed="64"/>
      </left>
      <right style="thin">
        <color indexed="64"/>
      </right>
      <top style="thin">
        <color rgb="FF47D359"/>
      </top>
      <bottom style="thin">
        <color rgb="FF47D359"/>
      </bottom>
      <diagonal/>
    </border>
    <border>
      <left style="thin">
        <color indexed="64"/>
      </left>
      <right style="thin">
        <color indexed="64"/>
      </right>
      <top style="thin">
        <color rgb="FFD86DCD"/>
      </top>
      <bottom style="thin">
        <color rgb="FFD86DCD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FFFFFF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49">
    <xf numFmtId="0" fontId="0" fillId="0" borderId="0" xfId="0"/>
    <xf numFmtId="3" fontId="0" fillId="0" borderId="3" xfId="0" applyNumberFormat="1" applyBorder="1"/>
    <xf numFmtId="3" fontId="0" fillId="3" borderId="3" xfId="0" applyNumberFormat="1" applyFill="1" applyBorder="1"/>
    <xf numFmtId="3" fontId="0" fillId="3" borderId="0" xfId="0" applyNumberFormat="1" applyFill="1"/>
    <xf numFmtId="3" fontId="0" fillId="0" borderId="5" xfId="0" applyNumberFormat="1" applyBorder="1"/>
    <xf numFmtId="0" fontId="0" fillId="0" borderId="2" xfId="0" applyBorder="1" applyProtection="1">
      <protection locked="0"/>
    </xf>
    <xf numFmtId="0" fontId="0" fillId="0" borderId="1" xfId="0" applyBorder="1" applyProtection="1">
      <protection locked="0"/>
    </xf>
    <xf numFmtId="0" fontId="0" fillId="0" borderId="0" xfId="0" applyProtection="1">
      <protection locked="0"/>
    </xf>
    <xf numFmtId="0" fontId="0" fillId="3" borderId="0" xfId="0" applyFill="1"/>
    <xf numFmtId="0" fontId="0" fillId="0" borderId="7" xfId="0" applyBorder="1" applyProtection="1">
      <protection locked="0"/>
    </xf>
    <xf numFmtId="9" fontId="0" fillId="0" borderId="8" xfId="0" applyNumberFormat="1" applyBorder="1" applyProtection="1">
      <protection locked="0"/>
    </xf>
    <xf numFmtId="9" fontId="0" fillId="0" borderId="9" xfId="0" applyNumberFormat="1" applyBorder="1" applyProtection="1">
      <protection locked="0"/>
    </xf>
    <xf numFmtId="164" fontId="2" fillId="0" borderId="6" xfId="0" applyNumberFormat="1" applyFont="1" applyBorder="1" applyAlignment="1" applyProtection="1">
      <alignment horizontal="center" vertical="center" wrapText="1"/>
      <protection locked="0"/>
    </xf>
    <xf numFmtId="0" fontId="0" fillId="0" borderId="3" xfId="0" applyBorder="1" applyProtection="1">
      <protection locked="0"/>
    </xf>
    <xf numFmtId="165" fontId="3" fillId="0" borderId="10" xfId="0" applyNumberFormat="1" applyFont="1" applyBorder="1" applyProtection="1">
      <protection locked="0"/>
    </xf>
    <xf numFmtId="164" fontId="2" fillId="0" borderId="4" xfId="0" applyNumberFormat="1" applyFont="1" applyBorder="1" applyAlignment="1" applyProtection="1">
      <alignment horizontal="center" vertical="center" wrapText="1"/>
      <protection locked="0"/>
    </xf>
    <xf numFmtId="2" fontId="3" fillId="4" borderId="0" xfId="0" applyNumberFormat="1" applyFont="1" applyFill="1" applyProtection="1">
      <protection locked="0"/>
    </xf>
    <xf numFmtId="2" fontId="3" fillId="0" borderId="0" xfId="0" applyNumberFormat="1" applyFont="1" applyProtection="1">
      <protection locked="0"/>
    </xf>
    <xf numFmtId="0" fontId="0" fillId="2" borderId="3" xfId="0" applyFill="1" applyBorder="1" applyProtection="1">
      <protection locked="0"/>
    </xf>
    <xf numFmtId="165" fontId="3" fillId="4" borderId="0" xfId="0" applyNumberFormat="1" applyFont="1" applyFill="1" applyProtection="1">
      <protection locked="0"/>
    </xf>
    <xf numFmtId="165" fontId="3" fillId="0" borderId="0" xfId="0" applyNumberFormat="1" applyFont="1" applyProtection="1">
      <protection locked="0"/>
    </xf>
    <xf numFmtId="165" fontId="3" fillId="0" borderId="11" xfId="0" applyNumberFormat="1" applyFont="1" applyBorder="1" applyProtection="1">
      <protection locked="0"/>
    </xf>
    <xf numFmtId="0" fontId="0" fillId="0" borderId="9" xfId="0" applyBorder="1" applyProtection="1">
      <protection locked="0"/>
    </xf>
    <xf numFmtId="0" fontId="5" fillId="3" borderId="7" xfId="0" applyFont="1" applyFill="1" applyBorder="1"/>
    <xf numFmtId="9" fontId="0" fillId="3" borderId="8" xfId="0" applyNumberFormat="1" applyFill="1" applyBorder="1"/>
    <xf numFmtId="9" fontId="0" fillId="3" borderId="9" xfId="0" applyNumberFormat="1" applyFill="1" applyBorder="1"/>
    <xf numFmtId="164" fontId="4" fillId="0" borderId="6" xfId="0" applyNumberFormat="1" applyFont="1" applyBorder="1" applyAlignment="1">
      <alignment horizontal="center" vertical="center" wrapText="1"/>
    </xf>
    <xf numFmtId="0" fontId="0" fillId="0" borderId="3" xfId="0" applyBorder="1"/>
    <xf numFmtId="164" fontId="4" fillId="3" borderId="4" xfId="0" applyNumberFormat="1" applyFont="1" applyFill="1" applyBorder="1" applyAlignment="1">
      <alignment horizontal="center" vertical="center" wrapText="1"/>
    </xf>
    <xf numFmtId="0" fontId="0" fillId="3" borderId="3" xfId="0" applyFill="1" applyBorder="1"/>
    <xf numFmtId="164" fontId="4" fillId="0" borderId="4" xfId="0" applyNumberFormat="1" applyFont="1" applyBorder="1" applyAlignment="1">
      <alignment horizontal="center" vertical="center" wrapText="1"/>
    </xf>
    <xf numFmtId="0" fontId="0" fillId="2" borderId="3" xfId="0" applyFill="1" applyBorder="1"/>
    <xf numFmtId="0" fontId="0" fillId="0" borderId="9" xfId="0" applyBorder="1" applyAlignment="1" applyProtection="1">
      <alignment horizontal="center"/>
      <protection locked="0"/>
    </xf>
    <xf numFmtId="0" fontId="0" fillId="0" borderId="12" xfId="0" applyBorder="1" applyAlignment="1" applyProtection="1">
      <alignment horizontal="center"/>
      <protection locked="0"/>
    </xf>
    <xf numFmtId="0" fontId="3" fillId="0" borderId="13" xfId="0" applyFont="1" applyBorder="1"/>
    <xf numFmtId="0" fontId="3" fillId="0" borderId="14" xfId="0" applyFont="1" applyBorder="1"/>
    <xf numFmtId="0" fontId="6" fillId="0" borderId="15" xfId="0" applyFont="1" applyBorder="1"/>
    <xf numFmtId="0" fontId="3" fillId="0" borderId="16" xfId="0" applyFont="1" applyBorder="1"/>
    <xf numFmtId="0" fontId="3" fillId="0" borderId="17" xfId="0" applyFont="1" applyBorder="1"/>
    <xf numFmtId="0" fontId="3" fillId="5" borderId="13" xfId="0" applyFont="1" applyFill="1" applyBorder="1"/>
    <xf numFmtId="0" fontId="3" fillId="4" borderId="14" xfId="0" applyFont="1" applyFill="1" applyBorder="1"/>
    <xf numFmtId="0" fontId="6" fillId="6" borderId="15" xfId="0" applyFont="1" applyFill="1" applyBorder="1"/>
    <xf numFmtId="0" fontId="3" fillId="7" borderId="16" xfId="0" applyFont="1" applyFill="1" applyBorder="1"/>
    <xf numFmtId="0" fontId="3" fillId="8" borderId="17" xfId="0" applyFont="1" applyFill="1" applyBorder="1"/>
    <xf numFmtId="0" fontId="3" fillId="4" borderId="18" xfId="0" applyFont="1" applyFill="1" applyBorder="1"/>
    <xf numFmtId="0" fontId="3" fillId="0" borderId="18" xfId="0" applyFont="1" applyBorder="1"/>
    <xf numFmtId="0" fontId="3" fillId="6" borderId="19" xfId="0" applyFont="1" applyFill="1" applyBorder="1" applyAlignment="1">
      <alignment horizontal="right"/>
    </xf>
    <xf numFmtId="0" fontId="3" fillId="4" borderId="20" xfId="0" applyFont="1" applyFill="1" applyBorder="1" applyAlignment="1">
      <alignment horizontal="right"/>
    </xf>
    <xf numFmtId="0" fontId="3" fillId="6" borderId="20" xfId="0" applyFont="1" applyFill="1" applyBorder="1" applyAlignment="1">
      <alignment horizontal="right"/>
    </xf>
  </cellXfs>
  <cellStyles count="1">
    <cellStyle name="Normal" xfId="0" builtinId="0"/>
  </cellStyles>
  <dxfs count="14">
    <dxf>
      <protection locked="0" hidden="0"/>
    </dxf>
    <dxf>
      <protection locked="0" hidden="0"/>
    </dxf>
    <dxf>
      <protection locked="0" hidden="0"/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protection locked="0" hidden="0"/>
    </dxf>
    <dxf>
      <protection locked="0" hidden="0"/>
    </dxf>
    <dxf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4BDB13E-0E88-4B79-94C7-217E7ACCC406}" name="Tabell5" displayName="Tabell5" ref="A2:K50" headerRowDxfId="13" dataDxfId="12" totalsRowDxfId="11">
  <tableColumns count="11">
    <tableColumn id="1" xr3:uid="{53A018B4-47A0-4550-B586-415476945096}" name="Kolonne1" totalsRowLabel="Totalt" dataDxfId="10"/>
    <tableColumn id="2" xr3:uid="{11E00B38-2B7E-4F23-88E4-BB91EE325B01}" name="Kolonne2" dataDxfId="9"/>
    <tableColumn id="3" xr3:uid="{346A1390-13E3-45AB-B9FE-6B845EDD51F4}" name="Kolonne3" dataDxfId="8"/>
    <tableColumn id="4" xr3:uid="{B8BAFE26-3CC0-4FDC-8D02-0970B85E77DB}" name="Kolonne4" dataDxfId="7"/>
    <tableColumn id="5" xr3:uid="{7F5D0C84-044A-4488-8B7A-7CBA5C126EDF}" name="Kolonne5" dataDxfId="6"/>
    <tableColumn id="6" xr3:uid="{4AD324D1-4548-40FA-AC56-CC9A0F0A13AC}" name="Kolonne6" dataDxfId="5"/>
    <tableColumn id="8" xr3:uid="{5F52E28E-0ED5-204F-B260-1A49F1587E0D}" name="Kolonne7" dataDxfId="4"/>
    <tableColumn id="7" xr3:uid="{537D13CE-0348-4888-A8C4-640AEB206B7B}" name="Kolonne8" dataDxfId="3"/>
    <tableColumn id="10" xr3:uid="{D3BE0B18-749E-AD4C-86D3-3E762C2E05B2}" name="Kolonne9" dataDxfId="2"/>
    <tableColumn id="9" xr3:uid="{45DD4665-7949-C747-B602-C6BD9C73192E}" name="Kolonne10" dataDxfId="1"/>
    <tableColumn id="13" xr3:uid="{81B99F18-18AF-4DD4-A5B6-9E9D319E719C}" name="Kolonne11" dataDxfId="0"/>
  </tableColumns>
  <tableStyleInfo name="TableStyleLight1" showFirstColumn="1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568DC-8BBB-C142-8FC0-6B4D241287AD}">
  <dimension ref="A2:J79"/>
  <sheetViews>
    <sheetView tabSelected="1" topLeftCell="A37" workbookViewId="0">
      <selection activeCell="E50" sqref="E50"/>
    </sheetView>
  </sheetViews>
  <sheetFormatPr baseColWidth="10" defaultRowHeight="15" x14ac:dyDescent="0.2"/>
  <cols>
    <col min="2" max="3" width="18.6640625" customWidth="1"/>
  </cols>
  <sheetData>
    <row r="2" spans="1:10" ht="16" thickBot="1" x14ac:dyDescent="0.25">
      <c r="A2" s="22" t="s">
        <v>0</v>
      </c>
      <c r="B2" s="22" t="s">
        <v>9</v>
      </c>
      <c r="C2" s="22" t="s">
        <v>10</v>
      </c>
      <c r="D2" s="22" t="s">
        <v>11</v>
      </c>
      <c r="E2" s="22" t="s">
        <v>7</v>
      </c>
      <c r="F2" s="32" t="s">
        <v>23</v>
      </c>
      <c r="G2" s="32"/>
      <c r="H2" s="22" t="s">
        <v>8</v>
      </c>
      <c r="I2" s="22" t="s">
        <v>5</v>
      </c>
      <c r="J2" s="22" t="s">
        <v>6</v>
      </c>
    </row>
    <row r="3" spans="1:10" ht="16" thickBot="1" x14ac:dyDescent="0.25">
      <c r="A3" s="23" t="s">
        <v>2</v>
      </c>
      <c r="B3" s="24">
        <v>0.95</v>
      </c>
      <c r="C3" s="24">
        <v>0.95</v>
      </c>
      <c r="D3" s="24">
        <v>0.95</v>
      </c>
      <c r="E3" s="24">
        <v>0.99</v>
      </c>
      <c r="F3" s="24">
        <v>0.99</v>
      </c>
      <c r="G3" s="24">
        <v>0.95</v>
      </c>
      <c r="H3" s="24">
        <v>0.99</v>
      </c>
      <c r="I3" s="25">
        <v>0.99</v>
      </c>
      <c r="J3" s="25">
        <v>0.99</v>
      </c>
    </row>
    <row r="4" spans="1:10" x14ac:dyDescent="0.2">
      <c r="A4" s="26">
        <v>45930</v>
      </c>
      <c r="B4" s="27">
        <v>91</v>
      </c>
      <c r="C4" s="27">
        <v>59</v>
      </c>
      <c r="D4" s="27">
        <v>33</v>
      </c>
      <c r="E4" s="27">
        <v>128</v>
      </c>
      <c r="F4" s="27">
        <v>71</v>
      </c>
      <c r="G4" s="27">
        <v>31</v>
      </c>
      <c r="H4" s="27">
        <v>33</v>
      </c>
      <c r="I4" s="27">
        <v>1.6</v>
      </c>
      <c r="J4">
        <f>mellomberegning!$A$1/1000</f>
        <v>9.3919999999999995</v>
      </c>
    </row>
    <row r="5" spans="1:10" x14ac:dyDescent="0.2">
      <c r="A5" s="28">
        <v>45838</v>
      </c>
      <c r="B5" s="29">
        <v>98</v>
      </c>
      <c r="C5" s="29">
        <v>50</v>
      </c>
      <c r="D5" s="29">
        <v>42</v>
      </c>
      <c r="E5" s="29">
        <v>130</v>
      </c>
      <c r="F5" s="29">
        <v>89</v>
      </c>
      <c r="G5" s="29">
        <v>38</v>
      </c>
      <c r="H5" s="29">
        <v>30</v>
      </c>
      <c r="I5" s="29">
        <v>2.6</v>
      </c>
      <c r="J5" s="8">
        <f>mellomberegning!A2/1000</f>
        <v>6.6970000000000001</v>
      </c>
    </row>
    <row r="6" spans="1:10" x14ac:dyDescent="0.2">
      <c r="A6" s="30">
        <v>45747</v>
      </c>
      <c r="B6" s="27">
        <v>91</v>
      </c>
      <c r="C6" s="27">
        <v>50</v>
      </c>
      <c r="D6" s="27">
        <v>50</v>
      </c>
      <c r="E6" s="27">
        <v>129</v>
      </c>
      <c r="F6" s="27">
        <v>99</v>
      </c>
      <c r="G6" s="27">
        <v>44</v>
      </c>
      <c r="H6" s="27">
        <v>25</v>
      </c>
      <c r="I6" s="27">
        <v>1.7</v>
      </c>
      <c r="J6">
        <f>mellomberegning!A3/1000</f>
        <v>9.7089999999999996</v>
      </c>
    </row>
    <row r="7" spans="1:10" x14ac:dyDescent="0.2">
      <c r="A7" s="28">
        <v>45657</v>
      </c>
      <c r="B7" s="31">
        <v>96</v>
      </c>
      <c r="C7" s="29">
        <v>46</v>
      </c>
      <c r="D7" s="29">
        <v>40</v>
      </c>
      <c r="E7" s="29">
        <v>125</v>
      </c>
      <c r="F7" s="29">
        <v>74</v>
      </c>
      <c r="G7" s="29">
        <v>38</v>
      </c>
      <c r="H7" s="29">
        <v>24</v>
      </c>
      <c r="I7" s="29">
        <v>1.7</v>
      </c>
      <c r="J7" s="8">
        <f>mellomberegning!A4/1000</f>
        <v>11.483000000000001</v>
      </c>
    </row>
    <row r="8" spans="1:10" x14ac:dyDescent="0.2">
      <c r="A8" s="30">
        <v>45565</v>
      </c>
      <c r="B8" s="27">
        <v>92</v>
      </c>
      <c r="C8" s="27">
        <v>46</v>
      </c>
      <c r="D8" s="27">
        <v>45</v>
      </c>
      <c r="E8" s="27">
        <v>119</v>
      </c>
      <c r="F8" s="27">
        <v>81</v>
      </c>
      <c r="G8" s="27">
        <v>42</v>
      </c>
      <c r="H8" s="27">
        <v>24</v>
      </c>
      <c r="I8" s="27">
        <v>2</v>
      </c>
      <c r="J8">
        <f>mellomberegning!A5/1000</f>
        <v>14.117000000000001</v>
      </c>
    </row>
    <row r="9" spans="1:10" x14ac:dyDescent="0.2">
      <c r="A9" s="28">
        <v>45473</v>
      </c>
      <c r="B9" s="29">
        <v>91</v>
      </c>
      <c r="C9" s="29">
        <v>48</v>
      </c>
      <c r="D9" s="29">
        <v>56</v>
      </c>
      <c r="E9" s="29">
        <v>124</v>
      </c>
      <c r="F9" s="29">
        <v>96</v>
      </c>
      <c r="G9" s="29">
        <v>48</v>
      </c>
      <c r="H9" s="29">
        <v>29</v>
      </c>
      <c r="I9" s="29">
        <v>1.8</v>
      </c>
      <c r="J9" s="8">
        <f>mellomberegning!A6/1000</f>
        <v>18.667000000000002</v>
      </c>
    </row>
    <row r="10" spans="1:10" x14ac:dyDescent="0.2">
      <c r="A10" s="30">
        <v>45382</v>
      </c>
      <c r="B10" s="27">
        <v>87</v>
      </c>
      <c r="C10" s="27">
        <v>54</v>
      </c>
      <c r="D10" s="27">
        <v>48</v>
      </c>
      <c r="E10" s="27">
        <v>165</v>
      </c>
      <c r="F10" s="27">
        <v>85</v>
      </c>
      <c r="G10" s="27">
        <v>46</v>
      </c>
      <c r="H10" s="27">
        <v>40</v>
      </c>
      <c r="I10" s="27">
        <v>1.8</v>
      </c>
      <c r="J10">
        <f>mellomberegning!A7/1000</f>
        <v>12.186</v>
      </c>
    </row>
    <row r="11" spans="1:10" x14ac:dyDescent="0.2">
      <c r="A11" s="28">
        <v>45291</v>
      </c>
      <c r="B11" s="29">
        <v>91</v>
      </c>
      <c r="C11" s="29">
        <v>46</v>
      </c>
      <c r="D11" s="29">
        <v>35</v>
      </c>
      <c r="E11" s="29">
        <v>153</v>
      </c>
      <c r="F11" s="29">
        <v>86</v>
      </c>
      <c r="G11" s="29">
        <v>46</v>
      </c>
      <c r="H11" s="29">
        <v>32</v>
      </c>
      <c r="I11" s="29">
        <v>2.2000000000000002</v>
      </c>
      <c r="J11" s="8">
        <f>mellomberegning!A8/1000</f>
        <v>15.157</v>
      </c>
    </row>
    <row r="12" spans="1:10" x14ac:dyDescent="0.2">
      <c r="A12" s="30">
        <v>45199</v>
      </c>
      <c r="B12" s="27">
        <v>87</v>
      </c>
      <c r="C12" s="27">
        <v>48</v>
      </c>
      <c r="D12" s="27">
        <v>41</v>
      </c>
      <c r="E12" s="27">
        <v>132</v>
      </c>
      <c r="F12" s="27">
        <v>77</v>
      </c>
      <c r="G12" s="27">
        <v>41</v>
      </c>
      <c r="H12" s="27">
        <v>34</v>
      </c>
      <c r="I12" s="27">
        <v>2.1</v>
      </c>
      <c r="J12">
        <f>mellomberegning!A9/1000</f>
        <v>11.964</v>
      </c>
    </row>
    <row r="13" spans="1:10" x14ac:dyDescent="0.2">
      <c r="A13" s="28">
        <v>45107</v>
      </c>
      <c r="B13" s="29">
        <v>117</v>
      </c>
      <c r="C13" s="29">
        <v>52</v>
      </c>
      <c r="D13" s="29">
        <v>47</v>
      </c>
      <c r="E13" s="29">
        <v>148</v>
      </c>
      <c r="F13" s="29">
        <v>81</v>
      </c>
      <c r="G13" s="29">
        <v>45</v>
      </c>
      <c r="H13" s="29">
        <v>35</v>
      </c>
      <c r="I13" s="29">
        <v>3</v>
      </c>
      <c r="J13" s="8">
        <f>mellomberegning!A10/1000</f>
        <v>9.7750000000000004</v>
      </c>
    </row>
    <row r="14" spans="1:10" x14ac:dyDescent="0.2">
      <c r="A14" s="30">
        <v>45016</v>
      </c>
      <c r="B14" s="27">
        <v>101</v>
      </c>
      <c r="C14" s="27">
        <v>55</v>
      </c>
      <c r="D14" s="27">
        <v>47</v>
      </c>
      <c r="E14" s="27">
        <v>161</v>
      </c>
      <c r="F14" s="27">
        <v>124</v>
      </c>
      <c r="G14" s="27">
        <v>45</v>
      </c>
      <c r="H14" s="27">
        <v>39</v>
      </c>
      <c r="I14" s="27">
        <v>4</v>
      </c>
      <c r="J14">
        <f>mellomberegning!A11/1000</f>
        <v>9.5169999999999995</v>
      </c>
    </row>
    <row r="15" spans="1:10" x14ac:dyDescent="0.2">
      <c r="A15" s="28">
        <v>44926</v>
      </c>
      <c r="B15" s="29">
        <v>102</v>
      </c>
      <c r="C15" s="29">
        <v>64</v>
      </c>
      <c r="D15" s="29">
        <v>61</v>
      </c>
      <c r="E15" s="29">
        <v>184</v>
      </c>
      <c r="F15" s="29">
        <v>68</v>
      </c>
      <c r="G15" s="29">
        <v>35</v>
      </c>
      <c r="H15" s="29">
        <v>43</v>
      </c>
      <c r="I15" s="29">
        <v>4.5</v>
      </c>
      <c r="J15" s="8">
        <f>mellomberegning!A12/1000</f>
        <v>7.8159999999999998</v>
      </c>
    </row>
    <row r="16" spans="1:10" x14ac:dyDescent="0.2">
      <c r="A16" s="30">
        <v>44834</v>
      </c>
      <c r="B16" s="27">
        <v>128</v>
      </c>
      <c r="C16" s="27">
        <v>61</v>
      </c>
      <c r="D16" s="27">
        <v>54</v>
      </c>
      <c r="E16" s="27">
        <v>159</v>
      </c>
      <c r="F16" s="27">
        <v>51</v>
      </c>
      <c r="G16" s="27">
        <v>23</v>
      </c>
      <c r="H16" s="27">
        <v>37</v>
      </c>
      <c r="I16" s="27">
        <v>4.5</v>
      </c>
      <c r="J16">
        <f>mellomberegning!A13/1000</f>
        <v>7.359</v>
      </c>
    </row>
    <row r="17" spans="1:10" x14ac:dyDescent="0.2">
      <c r="A17" s="28">
        <v>44742</v>
      </c>
      <c r="B17" s="29">
        <v>124</v>
      </c>
      <c r="C17" s="29">
        <v>46</v>
      </c>
      <c r="D17" s="29">
        <v>54</v>
      </c>
      <c r="E17" s="29">
        <v>135</v>
      </c>
      <c r="F17" s="29">
        <v>84</v>
      </c>
      <c r="G17" s="29">
        <v>35</v>
      </c>
      <c r="H17" s="29">
        <v>32</v>
      </c>
      <c r="I17" s="29">
        <v>6.9</v>
      </c>
      <c r="J17" s="8">
        <f>mellomberegning!A14/1000</f>
        <v>8.1639999999999997</v>
      </c>
    </row>
    <row r="18" spans="1:10" x14ac:dyDescent="0.2">
      <c r="A18" s="30">
        <v>44651</v>
      </c>
      <c r="B18" s="27">
        <v>98</v>
      </c>
      <c r="C18" s="27">
        <v>39</v>
      </c>
      <c r="D18" s="27">
        <v>63</v>
      </c>
      <c r="E18" s="27">
        <v>137</v>
      </c>
      <c r="F18" s="27">
        <v>91</v>
      </c>
      <c r="G18" s="27">
        <v>39</v>
      </c>
      <c r="H18" s="27">
        <v>27</v>
      </c>
      <c r="I18" s="27">
        <v>4.9000000000000004</v>
      </c>
      <c r="J18">
        <f>mellomberegning!A15/1000</f>
        <v>11.327999999999999</v>
      </c>
    </row>
    <row r="19" spans="1:10" x14ac:dyDescent="0.2">
      <c r="A19" s="28">
        <v>44561</v>
      </c>
      <c r="B19" s="29">
        <v>83</v>
      </c>
      <c r="C19" s="29">
        <v>40</v>
      </c>
      <c r="D19" s="29">
        <v>37</v>
      </c>
      <c r="E19" s="29">
        <v>128</v>
      </c>
      <c r="F19" s="29">
        <v>74</v>
      </c>
      <c r="G19" s="29">
        <v>38</v>
      </c>
      <c r="H19" s="29">
        <v>23</v>
      </c>
      <c r="I19" s="29">
        <v>3.5</v>
      </c>
      <c r="J19" s="8">
        <f>mellomberegning!A16/1000</f>
        <v>15.468</v>
      </c>
    </row>
    <row r="20" spans="1:10" x14ac:dyDescent="0.2">
      <c r="A20" s="30">
        <v>44469</v>
      </c>
      <c r="B20" s="27">
        <v>80</v>
      </c>
      <c r="C20" s="27">
        <v>45</v>
      </c>
      <c r="D20" s="27">
        <v>36</v>
      </c>
      <c r="E20" s="27">
        <v>139</v>
      </c>
      <c r="F20" s="27">
        <v>66</v>
      </c>
      <c r="G20" s="27">
        <v>29</v>
      </c>
      <c r="H20" s="27">
        <v>33</v>
      </c>
      <c r="I20" s="27">
        <v>3.4</v>
      </c>
      <c r="J20">
        <f>mellomberegning!A17/1000</f>
        <v>17.503</v>
      </c>
    </row>
    <row r="21" spans="1:10" x14ac:dyDescent="0.2">
      <c r="A21" s="28">
        <v>44377</v>
      </c>
      <c r="B21" s="29">
        <v>90</v>
      </c>
      <c r="C21" s="29">
        <v>48</v>
      </c>
      <c r="D21" s="29">
        <v>43</v>
      </c>
      <c r="E21" s="29">
        <v>134</v>
      </c>
      <c r="F21" s="29">
        <v>84</v>
      </c>
      <c r="G21" s="29">
        <v>35</v>
      </c>
      <c r="H21" s="29">
        <v>43</v>
      </c>
      <c r="I21" s="29">
        <v>3</v>
      </c>
      <c r="J21" s="8">
        <f>mellomberegning!A18/1000</f>
        <v>16.594000000000001</v>
      </c>
    </row>
    <row r="22" spans="1:10" x14ac:dyDescent="0.2">
      <c r="A22" s="30">
        <v>44286</v>
      </c>
      <c r="B22" s="27">
        <v>89</v>
      </c>
      <c r="C22" s="27">
        <v>69</v>
      </c>
      <c r="D22" s="27">
        <v>106</v>
      </c>
      <c r="E22" s="27">
        <v>123</v>
      </c>
      <c r="F22" s="27">
        <v>99</v>
      </c>
      <c r="G22" s="27">
        <v>44</v>
      </c>
      <c r="H22" s="27">
        <v>98</v>
      </c>
      <c r="I22" s="27">
        <v>3.2</v>
      </c>
      <c r="J22">
        <f>mellomberegning!A19/1000</f>
        <v>15.186999999999999</v>
      </c>
    </row>
    <row r="23" spans="1:10" x14ac:dyDescent="0.2">
      <c r="A23" s="28">
        <v>44196</v>
      </c>
      <c r="B23" s="29">
        <v>84</v>
      </c>
      <c r="C23" s="29">
        <v>55</v>
      </c>
      <c r="D23" s="29">
        <v>96</v>
      </c>
      <c r="E23" s="29">
        <v>126</v>
      </c>
      <c r="F23" s="29">
        <v>74</v>
      </c>
      <c r="G23" s="29">
        <v>38</v>
      </c>
      <c r="H23" s="29">
        <v>151</v>
      </c>
      <c r="I23" s="29">
        <v>3.5</v>
      </c>
      <c r="J23" s="8">
        <f>mellomberegning!A20/1000</f>
        <v>16.61</v>
      </c>
    </row>
    <row r="24" spans="1:10" x14ac:dyDescent="0.2">
      <c r="A24" s="30">
        <v>44104</v>
      </c>
      <c r="B24" s="27">
        <v>91</v>
      </c>
      <c r="C24" s="27">
        <v>58</v>
      </c>
      <c r="D24" s="27">
        <v>90</v>
      </c>
      <c r="E24" s="27">
        <v>130</v>
      </c>
      <c r="F24" s="27">
        <v>71</v>
      </c>
      <c r="G24" s="27">
        <v>31</v>
      </c>
      <c r="H24" s="27">
        <v>153</v>
      </c>
      <c r="I24" s="27">
        <v>3.4</v>
      </c>
      <c r="J24">
        <f>mellomberegning!A21/1000</f>
        <v>14.718</v>
      </c>
    </row>
    <row r="25" spans="1:10" x14ac:dyDescent="0.2">
      <c r="A25" s="28">
        <v>44012</v>
      </c>
      <c r="B25" s="29">
        <v>122</v>
      </c>
      <c r="C25" s="29">
        <v>60</v>
      </c>
      <c r="D25" s="29">
        <v>130</v>
      </c>
      <c r="E25" s="29">
        <v>245</v>
      </c>
      <c r="F25" s="29">
        <v>89</v>
      </c>
      <c r="G25" s="29">
        <v>38</v>
      </c>
      <c r="H25" s="29">
        <v>155</v>
      </c>
      <c r="I25" s="29">
        <v>4.7</v>
      </c>
      <c r="J25" s="8">
        <f>mellomberegning!A22/1000</f>
        <v>11.255000000000001</v>
      </c>
    </row>
    <row r="26" spans="1:10" x14ac:dyDescent="0.2">
      <c r="A26" s="30">
        <v>43921</v>
      </c>
      <c r="B26" s="27">
        <v>81</v>
      </c>
      <c r="C26" s="27">
        <v>40</v>
      </c>
      <c r="D26" s="27">
        <v>59</v>
      </c>
      <c r="E26" s="27">
        <v>119</v>
      </c>
      <c r="F26" s="27">
        <v>99</v>
      </c>
      <c r="G26" s="27">
        <v>44</v>
      </c>
      <c r="H26" s="27">
        <v>33</v>
      </c>
      <c r="I26" s="27">
        <v>6.4</v>
      </c>
      <c r="J26">
        <f>mellomberegning!A23/1000</f>
        <v>9.5280000000000005</v>
      </c>
    </row>
    <row r="27" spans="1:10" x14ac:dyDescent="0.2">
      <c r="A27" s="28">
        <v>43830</v>
      </c>
      <c r="B27" s="29">
        <v>58</v>
      </c>
      <c r="C27" s="29">
        <v>39</v>
      </c>
      <c r="D27" s="29">
        <v>37</v>
      </c>
      <c r="E27" s="29">
        <v>67</v>
      </c>
      <c r="F27" s="29">
        <v>86</v>
      </c>
      <c r="G27" s="29">
        <v>46</v>
      </c>
      <c r="H27" s="29">
        <v>31</v>
      </c>
      <c r="I27" s="29">
        <v>5.7</v>
      </c>
      <c r="J27" s="8">
        <f>mellomberegning!A24/1000</f>
        <v>10.103999999999999</v>
      </c>
    </row>
    <row r="28" spans="1:10" x14ac:dyDescent="0.2">
      <c r="A28" s="30">
        <v>43738</v>
      </c>
      <c r="B28" s="27">
        <v>58</v>
      </c>
      <c r="C28" s="27">
        <v>42</v>
      </c>
      <c r="D28" s="27">
        <v>39</v>
      </c>
      <c r="E28" s="27">
        <v>66</v>
      </c>
      <c r="F28" s="27">
        <v>81</v>
      </c>
      <c r="G28" s="27">
        <v>45</v>
      </c>
      <c r="H28" s="27">
        <v>24</v>
      </c>
      <c r="I28" s="27">
        <v>6.1</v>
      </c>
      <c r="J28">
        <f>mellomberegning!A25/1000</f>
        <v>10.438000000000001</v>
      </c>
    </row>
    <row r="29" spans="1:10" x14ac:dyDescent="0.2">
      <c r="A29" s="28">
        <v>43646</v>
      </c>
      <c r="B29" s="29">
        <v>52</v>
      </c>
      <c r="C29" s="29">
        <v>42</v>
      </c>
      <c r="D29" s="29">
        <v>46</v>
      </c>
      <c r="E29" s="29">
        <v>69</v>
      </c>
      <c r="F29" s="29">
        <v>96</v>
      </c>
      <c r="G29" s="29">
        <v>48</v>
      </c>
      <c r="H29" s="29">
        <v>20</v>
      </c>
      <c r="I29" s="29">
        <v>5.3</v>
      </c>
      <c r="J29" s="8">
        <f>mellomberegning!A26/1000</f>
        <v>10.936999999999999</v>
      </c>
    </row>
    <row r="30" spans="1:10" x14ac:dyDescent="0.2">
      <c r="A30" s="30">
        <v>43555</v>
      </c>
      <c r="B30" s="27">
        <v>55</v>
      </c>
      <c r="C30" s="27">
        <v>46</v>
      </c>
      <c r="D30" s="27">
        <v>52</v>
      </c>
      <c r="E30" s="27">
        <v>81</v>
      </c>
      <c r="F30" s="27">
        <v>85</v>
      </c>
      <c r="G30" s="27">
        <v>46</v>
      </c>
      <c r="H30" s="27">
        <v>15</v>
      </c>
      <c r="I30" s="27">
        <v>6.2</v>
      </c>
      <c r="J30">
        <f>mellomberegning!A27/1000</f>
        <v>9.8719999999999999</v>
      </c>
    </row>
    <row r="31" spans="1:10" x14ac:dyDescent="0.2">
      <c r="A31" s="28">
        <v>43465</v>
      </c>
      <c r="B31" s="29">
        <v>49</v>
      </c>
      <c r="C31" s="29">
        <v>49</v>
      </c>
      <c r="D31" s="29">
        <v>51</v>
      </c>
      <c r="E31" s="29">
        <v>95</v>
      </c>
      <c r="F31" s="29">
        <v>86</v>
      </c>
      <c r="G31" s="29">
        <v>46</v>
      </c>
      <c r="H31" s="29">
        <v>16</v>
      </c>
      <c r="I31" s="29">
        <v>6.6</v>
      </c>
      <c r="J31" s="8">
        <f>mellomberegning!A28/1000</f>
        <v>10.64</v>
      </c>
    </row>
    <row r="32" spans="1:10" x14ac:dyDescent="0.2">
      <c r="A32" s="30">
        <v>43373</v>
      </c>
      <c r="B32" s="27">
        <v>53</v>
      </c>
      <c r="C32" s="27">
        <v>42</v>
      </c>
      <c r="D32" s="27">
        <v>35</v>
      </c>
      <c r="E32" s="27">
        <v>82</v>
      </c>
      <c r="F32" s="27">
        <v>77</v>
      </c>
      <c r="G32" s="27">
        <v>41</v>
      </c>
      <c r="H32" s="27">
        <v>12</v>
      </c>
      <c r="I32" s="27">
        <v>4.7</v>
      </c>
      <c r="J32">
        <f>mellomberegning!A29/1000</f>
        <v>6.0110000000000001</v>
      </c>
    </row>
    <row r="33" spans="1:10" x14ac:dyDescent="0.2">
      <c r="A33" s="28">
        <v>43281</v>
      </c>
      <c r="B33" s="29">
        <v>64</v>
      </c>
      <c r="C33" s="29">
        <v>44</v>
      </c>
      <c r="D33" s="29">
        <v>35</v>
      </c>
      <c r="E33" s="29">
        <v>90</v>
      </c>
      <c r="F33" s="29">
        <v>96</v>
      </c>
      <c r="G33" s="29">
        <v>48</v>
      </c>
      <c r="H33" s="29">
        <v>15</v>
      </c>
      <c r="I33" s="29">
        <v>5.3</v>
      </c>
      <c r="J33" s="8">
        <f>mellomberegning!A30/1000</f>
        <v>6.548</v>
      </c>
    </row>
    <row r="34" spans="1:10" x14ac:dyDescent="0.2">
      <c r="A34" s="30">
        <v>43190</v>
      </c>
      <c r="B34" s="27">
        <v>73</v>
      </c>
      <c r="C34" s="27">
        <v>46</v>
      </c>
      <c r="D34" s="27">
        <v>43</v>
      </c>
      <c r="E34" s="27">
        <v>102</v>
      </c>
      <c r="F34" s="27">
        <v>85</v>
      </c>
      <c r="G34" s="27">
        <v>46</v>
      </c>
      <c r="H34" s="27">
        <v>17</v>
      </c>
      <c r="I34" s="27">
        <v>6.5</v>
      </c>
      <c r="J34">
        <f>mellomberegning!A31/1000</f>
        <v>6.62</v>
      </c>
    </row>
    <row r="35" spans="1:10" x14ac:dyDescent="0.2">
      <c r="A35" s="28">
        <v>43100</v>
      </c>
      <c r="B35" s="29">
        <v>54</v>
      </c>
      <c r="C35" s="29">
        <v>38</v>
      </c>
      <c r="D35" s="29">
        <v>34</v>
      </c>
      <c r="E35" s="29">
        <v>93</v>
      </c>
      <c r="F35" s="29">
        <v>86</v>
      </c>
      <c r="G35" s="29">
        <v>46</v>
      </c>
      <c r="H35" s="29">
        <v>13</v>
      </c>
      <c r="I35" s="29">
        <v>5</v>
      </c>
      <c r="J35" s="8">
        <f>mellomberegning!A32/1000</f>
        <v>8.4749999999999996</v>
      </c>
    </row>
    <row r="36" spans="1:10" x14ac:dyDescent="0.2">
      <c r="A36" s="30">
        <v>43008</v>
      </c>
      <c r="B36" s="27">
        <v>47</v>
      </c>
      <c r="C36" s="27">
        <v>43</v>
      </c>
      <c r="D36" s="27">
        <v>30</v>
      </c>
      <c r="E36" s="27">
        <v>89</v>
      </c>
      <c r="F36" s="27">
        <v>81</v>
      </c>
      <c r="G36" s="27">
        <v>42</v>
      </c>
      <c r="H36" s="27">
        <v>15</v>
      </c>
      <c r="I36" s="27">
        <v>3.8</v>
      </c>
      <c r="J36">
        <f>mellomberegning!A33/1000</f>
        <v>7.5460000000000003</v>
      </c>
    </row>
    <row r="37" spans="1:10" x14ac:dyDescent="0.2">
      <c r="A37" s="28">
        <v>42916</v>
      </c>
      <c r="B37" s="29">
        <v>51</v>
      </c>
      <c r="C37" s="29">
        <v>51</v>
      </c>
      <c r="D37" s="29">
        <v>27</v>
      </c>
      <c r="E37" s="29">
        <v>96</v>
      </c>
      <c r="F37" s="29">
        <v>96</v>
      </c>
      <c r="G37" s="29">
        <v>48</v>
      </c>
      <c r="H37" s="29">
        <v>29</v>
      </c>
      <c r="I37" s="29">
        <v>4.0999999999999996</v>
      </c>
      <c r="J37" s="8">
        <f>mellomberegning!A34/1000</f>
        <v>7.74</v>
      </c>
    </row>
    <row r="38" spans="1:10" x14ac:dyDescent="0.2">
      <c r="A38" s="30">
        <v>42825</v>
      </c>
      <c r="B38" s="27">
        <v>64</v>
      </c>
      <c r="C38" s="27">
        <v>44</v>
      </c>
      <c r="D38" s="27">
        <v>25</v>
      </c>
      <c r="E38" s="27">
        <v>100</v>
      </c>
      <c r="F38" s="27">
        <v>44</v>
      </c>
      <c r="G38" s="27">
        <v>23</v>
      </c>
      <c r="H38" s="27">
        <v>26</v>
      </c>
      <c r="I38" s="27">
        <v>4.0999999999999996</v>
      </c>
      <c r="J38">
        <f>mellomberegning!A35/1000</f>
        <v>6.5949999999999998</v>
      </c>
    </row>
    <row r="39" spans="1:10" x14ac:dyDescent="0.2">
      <c r="A39" s="28">
        <v>42735</v>
      </c>
      <c r="B39" s="29">
        <v>61</v>
      </c>
      <c r="C39" s="29">
        <v>39</v>
      </c>
      <c r="D39" s="29">
        <v>40</v>
      </c>
      <c r="E39" s="29">
        <v>89</v>
      </c>
      <c r="F39" s="29">
        <v>43</v>
      </c>
      <c r="G39" s="29">
        <v>22</v>
      </c>
      <c r="H39" s="29">
        <v>23</v>
      </c>
      <c r="I39" s="29">
        <v>5.8</v>
      </c>
      <c r="J39" s="8">
        <f>mellomberegning!A36/1000</f>
        <v>8.2850000000000001</v>
      </c>
    </row>
    <row r="40" spans="1:10" x14ac:dyDescent="0.2">
      <c r="A40" s="30">
        <v>42643</v>
      </c>
      <c r="B40" s="27">
        <v>57</v>
      </c>
      <c r="C40" s="27">
        <v>42</v>
      </c>
      <c r="D40" s="27">
        <v>43</v>
      </c>
      <c r="E40" s="27">
        <v>85</v>
      </c>
      <c r="F40" s="27">
        <v>47</v>
      </c>
      <c r="G40" s="27">
        <v>26</v>
      </c>
      <c r="H40" s="27">
        <v>22</v>
      </c>
      <c r="I40" s="27">
        <v>6.6</v>
      </c>
      <c r="J40">
        <f>mellomberegning!A37/1000</f>
        <v>7.4969999999999999</v>
      </c>
    </row>
    <row r="41" spans="1:10" x14ac:dyDescent="0.2">
      <c r="A41" s="28">
        <v>42551</v>
      </c>
      <c r="B41" s="29">
        <v>62</v>
      </c>
      <c r="C41" s="29">
        <v>46</v>
      </c>
      <c r="D41" s="29">
        <v>45</v>
      </c>
      <c r="E41" s="29">
        <v>88</v>
      </c>
      <c r="F41" s="29">
        <v>54</v>
      </c>
      <c r="G41" s="29">
        <v>27</v>
      </c>
      <c r="H41" s="29">
        <v>21</v>
      </c>
      <c r="I41" s="29">
        <v>5.9</v>
      </c>
      <c r="J41" s="8">
        <f>mellomberegning!A38/1000</f>
        <v>5.9859999999999998</v>
      </c>
    </row>
    <row r="42" spans="1:10" x14ac:dyDescent="0.2">
      <c r="A42" s="30">
        <v>42460</v>
      </c>
      <c r="B42" s="27">
        <v>72</v>
      </c>
      <c r="C42" s="27">
        <v>46</v>
      </c>
      <c r="D42" s="27">
        <v>54</v>
      </c>
      <c r="E42" s="27">
        <v>108</v>
      </c>
      <c r="F42" s="27">
        <v>50</v>
      </c>
      <c r="G42" s="27">
        <v>27</v>
      </c>
      <c r="H42" s="27">
        <v>18</v>
      </c>
      <c r="I42" s="27">
        <v>5.4</v>
      </c>
      <c r="J42">
        <f>mellomberegning!A39/1000</f>
        <v>4.6929999999999996</v>
      </c>
    </row>
    <row r="43" spans="1:10" x14ac:dyDescent="0.2">
      <c r="A43" s="28">
        <v>42369</v>
      </c>
      <c r="B43" s="29">
        <v>71</v>
      </c>
      <c r="C43" s="29">
        <v>46</v>
      </c>
      <c r="D43" s="29">
        <v>47</v>
      </c>
      <c r="E43" s="29">
        <v>107</v>
      </c>
      <c r="F43" s="29">
        <v>53</v>
      </c>
      <c r="G43" s="29">
        <v>26</v>
      </c>
      <c r="H43" s="29">
        <v>19</v>
      </c>
      <c r="I43" s="29">
        <v>4.8</v>
      </c>
      <c r="J43" s="8">
        <f>mellomberegning!A40/1000</f>
        <v>7.0220000000000002</v>
      </c>
    </row>
    <row r="44" spans="1:10" x14ac:dyDescent="0.2">
      <c r="A44" s="30">
        <v>42277</v>
      </c>
      <c r="B44" s="27">
        <v>74</v>
      </c>
      <c r="C44" s="27">
        <v>53</v>
      </c>
      <c r="D44" s="27">
        <v>54</v>
      </c>
      <c r="E44" s="27">
        <v>116</v>
      </c>
      <c r="F44" s="27">
        <v>60</v>
      </c>
      <c r="G44" s="27">
        <v>28</v>
      </c>
      <c r="H44" s="27">
        <v>21</v>
      </c>
      <c r="I44" s="27">
        <v>5</v>
      </c>
      <c r="J44">
        <f>mellomberegning!A41/1000</f>
        <v>6.056</v>
      </c>
    </row>
    <row r="45" spans="1:10" x14ac:dyDescent="0.2">
      <c r="A45" s="28">
        <v>42185</v>
      </c>
      <c r="B45" s="29">
        <v>77</v>
      </c>
      <c r="C45" s="29">
        <v>54</v>
      </c>
      <c r="D45" s="29">
        <v>42</v>
      </c>
      <c r="E45" s="29">
        <v>113</v>
      </c>
      <c r="F45" s="29">
        <v>61</v>
      </c>
      <c r="G45" s="29">
        <v>25</v>
      </c>
      <c r="H45" s="29">
        <v>16</v>
      </c>
      <c r="I45" s="29">
        <v>5.4</v>
      </c>
      <c r="J45" s="8">
        <f>mellomberegning!A42/1000</f>
        <v>6.2709999999999999</v>
      </c>
    </row>
    <row r="46" spans="1:10" x14ac:dyDescent="0.2">
      <c r="A46" s="30">
        <v>42094</v>
      </c>
      <c r="B46" s="27">
        <v>81</v>
      </c>
      <c r="C46" s="27">
        <v>47</v>
      </c>
      <c r="D46" s="27">
        <v>43</v>
      </c>
      <c r="E46" s="27">
        <v>131</v>
      </c>
      <c r="F46" s="27">
        <v>71</v>
      </c>
      <c r="G46" s="27">
        <v>33</v>
      </c>
      <c r="H46" s="27">
        <v>18</v>
      </c>
      <c r="I46" s="27">
        <v>5.5</v>
      </c>
      <c r="J46">
        <f>mellomberegning!A43/1000</f>
        <v>7.0220000000000002</v>
      </c>
    </row>
    <row r="47" spans="1:10" x14ac:dyDescent="0.2">
      <c r="A47" s="28">
        <v>42004</v>
      </c>
      <c r="B47" s="29">
        <v>77</v>
      </c>
      <c r="C47" s="29">
        <v>47</v>
      </c>
      <c r="D47" s="29">
        <v>43</v>
      </c>
      <c r="E47" s="29">
        <v>120</v>
      </c>
      <c r="F47" s="29">
        <v>59</v>
      </c>
      <c r="G47" s="29">
        <v>26</v>
      </c>
      <c r="H47" s="29">
        <v>21</v>
      </c>
      <c r="I47" s="29">
        <v>5.5</v>
      </c>
      <c r="J47" s="8">
        <f>mellomberegning!A44/1000</f>
        <v>8.2810000000000006</v>
      </c>
    </row>
    <row r="48" spans="1:10" x14ac:dyDescent="0.2">
      <c r="A48" s="30">
        <v>41912</v>
      </c>
      <c r="B48" s="27">
        <v>66</v>
      </c>
      <c r="C48" s="27">
        <v>42</v>
      </c>
      <c r="D48" s="27">
        <v>36</v>
      </c>
      <c r="E48" s="27">
        <v>121</v>
      </c>
      <c r="F48" s="27">
        <v>56</v>
      </c>
      <c r="G48" s="27">
        <v>27</v>
      </c>
      <c r="H48" s="27">
        <v>17</v>
      </c>
      <c r="I48" s="27">
        <v>6</v>
      </c>
      <c r="J48">
        <f>mellomberegning!A45/1000</f>
        <v>6.4550000000000001</v>
      </c>
    </row>
    <row r="49" spans="1:10" x14ac:dyDescent="0.2">
      <c r="A49" s="28">
        <v>41820</v>
      </c>
      <c r="B49" s="29">
        <v>77</v>
      </c>
      <c r="C49" s="29">
        <v>48</v>
      </c>
      <c r="D49" s="29">
        <v>55</v>
      </c>
      <c r="E49" s="29">
        <v>59</v>
      </c>
      <c r="F49" s="29">
        <v>59</v>
      </c>
      <c r="G49" s="29">
        <v>30</v>
      </c>
      <c r="H49" s="29">
        <v>24</v>
      </c>
      <c r="I49" s="29">
        <v>7.9</v>
      </c>
      <c r="J49" s="8">
        <f>mellomberegning!A46/1000</f>
        <v>6.9119999999999999</v>
      </c>
    </row>
    <row r="50" spans="1:10" x14ac:dyDescent="0.2">
      <c r="A50" s="30">
        <v>41729</v>
      </c>
      <c r="B50" s="34">
        <v>82</v>
      </c>
      <c r="C50" s="35">
        <v>50</v>
      </c>
      <c r="D50" s="36">
        <v>42</v>
      </c>
      <c r="E50" s="34">
        <v>156</v>
      </c>
      <c r="F50" s="37">
        <v>59</v>
      </c>
      <c r="G50" s="38"/>
      <c r="H50" s="38">
        <v>24</v>
      </c>
      <c r="I50" s="46">
        <v>9</v>
      </c>
      <c r="J50" s="44">
        <v>5.13</v>
      </c>
    </row>
    <row r="51" spans="1:10" x14ac:dyDescent="0.2">
      <c r="A51" s="26">
        <v>41639</v>
      </c>
      <c r="B51" s="39">
        <v>85</v>
      </c>
      <c r="C51" s="40">
        <v>53</v>
      </c>
      <c r="D51" s="41">
        <v>44</v>
      </c>
      <c r="E51" s="39">
        <v>144</v>
      </c>
      <c r="F51" s="42">
        <v>99</v>
      </c>
      <c r="G51" s="43"/>
      <c r="H51" s="43">
        <v>23</v>
      </c>
      <c r="I51" s="47">
        <v>8.1999999999999993</v>
      </c>
      <c r="J51" s="45">
        <v>5.13</v>
      </c>
    </row>
    <row r="52" spans="1:10" x14ac:dyDescent="0.2">
      <c r="A52" s="28">
        <v>41547</v>
      </c>
      <c r="B52" s="34">
        <v>81</v>
      </c>
      <c r="C52" s="35">
        <v>56</v>
      </c>
      <c r="D52" s="36">
        <v>45</v>
      </c>
      <c r="E52" s="34">
        <v>117</v>
      </c>
      <c r="F52" s="37">
        <v>54</v>
      </c>
      <c r="G52" s="38"/>
      <c r="H52" s="38">
        <v>18</v>
      </c>
      <c r="I52" s="48">
        <v>11.3</v>
      </c>
      <c r="J52" s="44">
        <v>5.13</v>
      </c>
    </row>
    <row r="53" spans="1:10" x14ac:dyDescent="0.2">
      <c r="A53" s="30">
        <v>41455</v>
      </c>
      <c r="B53" s="39">
        <v>86</v>
      </c>
      <c r="C53" s="40">
        <v>61</v>
      </c>
      <c r="D53" s="41">
        <v>40</v>
      </c>
      <c r="E53" s="39">
        <v>120</v>
      </c>
      <c r="F53" s="42">
        <v>69</v>
      </c>
      <c r="G53" s="43"/>
      <c r="H53" s="43">
        <v>15</v>
      </c>
      <c r="I53" s="47">
        <v>11.3</v>
      </c>
      <c r="J53" s="45">
        <v>5.13</v>
      </c>
    </row>
    <row r="54" spans="1:10" x14ac:dyDescent="0.2">
      <c r="A54" s="28">
        <v>41364</v>
      </c>
      <c r="B54" s="34">
        <v>83</v>
      </c>
      <c r="C54" s="35">
        <v>62</v>
      </c>
      <c r="D54" s="36">
        <v>62</v>
      </c>
      <c r="E54" s="34">
        <v>110</v>
      </c>
      <c r="F54" s="37">
        <v>80</v>
      </c>
      <c r="G54" s="38"/>
      <c r="H54" s="38">
        <v>24</v>
      </c>
      <c r="I54" s="48">
        <v>13</v>
      </c>
      <c r="J54" s="44">
        <v>5.13</v>
      </c>
    </row>
    <row r="55" spans="1:10" x14ac:dyDescent="0.2">
      <c r="A55" s="30">
        <v>41274</v>
      </c>
      <c r="B55" s="39">
        <v>71</v>
      </c>
      <c r="C55" s="40">
        <v>75</v>
      </c>
      <c r="D55" s="41">
        <v>98</v>
      </c>
      <c r="E55" s="39">
        <v>137</v>
      </c>
      <c r="F55" s="42">
        <v>100</v>
      </c>
      <c r="G55" s="43"/>
      <c r="H55" s="43">
        <v>18</v>
      </c>
      <c r="I55" s="47">
        <v>10.5</v>
      </c>
      <c r="J55" s="45">
        <v>5.13</v>
      </c>
    </row>
    <row r="56" spans="1:10" x14ac:dyDescent="0.2">
      <c r="A56" s="28">
        <v>41182</v>
      </c>
      <c r="B56" s="34">
        <v>81</v>
      </c>
      <c r="C56" s="35">
        <v>72</v>
      </c>
      <c r="D56" s="36">
        <v>122</v>
      </c>
      <c r="E56" s="34">
        <v>129</v>
      </c>
      <c r="F56" s="37">
        <v>54.8</v>
      </c>
      <c r="G56" s="38"/>
      <c r="H56" s="38">
        <v>19</v>
      </c>
      <c r="I56" s="48">
        <v>12.6</v>
      </c>
      <c r="J56" s="44">
        <v>5.13</v>
      </c>
    </row>
    <row r="57" spans="1:10" x14ac:dyDescent="0.2">
      <c r="A57" s="30">
        <v>41090</v>
      </c>
      <c r="B57" s="39">
        <v>85</v>
      </c>
      <c r="C57" s="40">
        <v>76</v>
      </c>
      <c r="D57" s="41">
        <v>75</v>
      </c>
      <c r="E57" s="39">
        <v>149</v>
      </c>
      <c r="F57" s="42">
        <v>62.5</v>
      </c>
      <c r="G57" s="43"/>
      <c r="H57" s="43">
        <v>31</v>
      </c>
      <c r="I57" s="47">
        <v>10</v>
      </c>
      <c r="J57" s="45">
        <v>5.13</v>
      </c>
    </row>
    <row r="58" spans="1:10" x14ac:dyDescent="0.2">
      <c r="A58" s="28">
        <v>40999</v>
      </c>
      <c r="B58" s="34">
        <v>95</v>
      </c>
      <c r="C58" s="35">
        <v>78</v>
      </c>
      <c r="D58" s="36">
        <v>81</v>
      </c>
      <c r="E58" s="34">
        <v>178</v>
      </c>
      <c r="F58" s="37">
        <v>84.1</v>
      </c>
      <c r="G58" s="38"/>
      <c r="H58" s="38">
        <v>32</v>
      </c>
      <c r="I58" s="48">
        <v>9</v>
      </c>
      <c r="J58" s="44">
        <v>5.13</v>
      </c>
    </row>
    <row r="59" spans="1:10" x14ac:dyDescent="0.2">
      <c r="A59" s="30">
        <v>40908</v>
      </c>
      <c r="B59" s="39">
        <v>99</v>
      </c>
      <c r="C59" s="40">
        <v>87</v>
      </c>
      <c r="D59" s="41">
        <v>76</v>
      </c>
      <c r="E59" s="39">
        <v>183</v>
      </c>
      <c r="F59" s="42">
        <v>88.4</v>
      </c>
      <c r="G59" s="43"/>
      <c r="H59" s="43">
        <v>32</v>
      </c>
      <c r="I59" s="47">
        <v>11.3</v>
      </c>
      <c r="J59" s="45">
        <v>5.13</v>
      </c>
    </row>
    <row r="60" spans="1:10" x14ac:dyDescent="0.2">
      <c r="A60" s="28">
        <v>40816</v>
      </c>
      <c r="B60" s="34">
        <v>144</v>
      </c>
      <c r="C60" s="35">
        <v>143</v>
      </c>
      <c r="D60" s="36">
        <v>70</v>
      </c>
      <c r="E60" s="34">
        <v>196</v>
      </c>
      <c r="F60" s="37">
        <v>163.69999999999999</v>
      </c>
      <c r="G60" s="38"/>
      <c r="H60" s="38">
        <v>30</v>
      </c>
      <c r="I60" s="48">
        <v>13.3</v>
      </c>
      <c r="J60" s="44">
        <v>5.13</v>
      </c>
    </row>
    <row r="61" spans="1:10" x14ac:dyDescent="0.2">
      <c r="A61" s="30">
        <v>40724</v>
      </c>
      <c r="B61" s="39">
        <v>85</v>
      </c>
      <c r="C61" s="40">
        <v>129</v>
      </c>
      <c r="D61" s="41">
        <v>77</v>
      </c>
      <c r="E61" s="39">
        <v>168</v>
      </c>
      <c r="F61" s="42">
        <v>229.2</v>
      </c>
      <c r="G61" s="43"/>
      <c r="H61" s="43">
        <v>28</v>
      </c>
      <c r="I61" s="47">
        <v>8.1</v>
      </c>
      <c r="J61" s="45">
        <v>5.13</v>
      </c>
    </row>
    <row r="62" spans="1:10" x14ac:dyDescent="0.2">
      <c r="A62" s="28">
        <v>40633</v>
      </c>
      <c r="B62" s="34">
        <v>112</v>
      </c>
      <c r="C62" s="35">
        <v>134</v>
      </c>
      <c r="D62" s="36">
        <v>83</v>
      </c>
      <c r="E62" s="34">
        <v>195</v>
      </c>
      <c r="F62" s="37">
        <v>183.9</v>
      </c>
      <c r="G62" s="38"/>
      <c r="H62" s="38">
        <v>25</v>
      </c>
      <c r="I62" s="48">
        <v>7.5</v>
      </c>
      <c r="J62" s="44">
        <v>5.13</v>
      </c>
    </row>
    <row r="63" spans="1:10" x14ac:dyDescent="0.2">
      <c r="A63" s="30">
        <v>40543</v>
      </c>
      <c r="B63" s="39">
        <v>111</v>
      </c>
      <c r="C63" s="40">
        <v>118</v>
      </c>
      <c r="D63" s="41">
        <v>87</v>
      </c>
      <c r="E63" s="39">
        <v>191</v>
      </c>
      <c r="F63" s="42">
        <v>157.1</v>
      </c>
      <c r="G63" s="43"/>
      <c r="H63" s="43">
        <v>30</v>
      </c>
      <c r="I63" s="47">
        <v>3.9</v>
      </c>
      <c r="J63" s="45">
        <v>5.13</v>
      </c>
    </row>
    <row r="64" spans="1:10" x14ac:dyDescent="0.2">
      <c r="A64" s="28">
        <v>40451</v>
      </c>
      <c r="B64" s="34">
        <v>125</v>
      </c>
      <c r="C64" s="35">
        <v>208</v>
      </c>
      <c r="D64" s="36">
        <v>99</v>
      </c>
      <c r="E64" s="34">
        <v>213</v>
      </c>
      <c r="F64" s="37">
        <v>185</v>
      </c>
      <c r="G64" s="38"/>
      <c r="H64" s="38">
        <v>31</v>
      </c>
      <c r="I64" s="48">
        <v>9.1999999999999993</v>
      </c>
      <c r="J64" s="44">
        <v>5.13</v>
      </c>
    </row>
    <row r="65" spans="1:10" x14ac:dyDescent="0.2">
      <c r="A65" s="30">
        <v>40359</v>
      </c>
      <c r="B65" s="39">
        <v>138</v>
      </c>
      <c r="C65" s="40">
        <v>164</v>
      </c>
      <c r="D65" s="41">
        <v>90</v>
      </c>
      <c r="E65" s="39">
        <v>188</v>
      </c>
      <c r="F65" s="42">
        <v>189</v>
      </c>
      <c r="G65" s="43"/>
      <c r="H65" s="43">
        <v>30</v>
      </c>
      <c r="I65" s="47">
        <v>6.6</v>
      </c>
      <c r="J65" s="45">
        <v>5.13</v>
      </c>
    </row>
    <row r="66" spans="1:10" x14ac:dyDescent="0.2">
      <c r="A66" s="28">
        <v>40268</v>
      </c>
      <c r="B66" s="34">
        <v>164</v>
      </c>
      <c r="C66" s="35">
        <v>167</v>
      </c>
      <c r="D66" s="36">
        <v>82</v>
      </c>
      <c r="E66" s="34">
        <v>200</v>
      </c>
      <c r="F66" s="37">
        <v>275.8</v>
      </c>
      <c r="G66" s="38"/>
      <c r="H66" s="38">
        <v>38</v>
      </c>
      <c r="I66" s="48">
        <v>10.9</v>
      </c>
      <c r="J66" s="44">
        <v>5.13</v>
      </c>
    </row>
    <row r="67" spans="1:10" x14ac:dyDescent="0.2">
      <c r="A67" s="30">
        <v>40178</v>
      </c>
      <c r="B67" s="39">
        <v>153</v>
      </c>
      <c r="C67" s="40">
        <v>187</v>
      </c>
      <c r="D67" s="41">
        <v>164</v>
      </c>
      <c r="E67" s="39">
        <v>163</v>
      </c>
      <c r="F67" s="42">
        <v>255.7</v>
      </c>
      <c r="G67" s="43"/>
      <c r="H67" s="43">
        <v>45</v>
      </c>
      <c r="I67" s="47">
        <v>8.1</v>
      </c>
      <c r="J67" s="45">
        <v>5.13</v>
      </c>
    </row>
    <row r="68" spans="1:10" x14ac:dyDescent="0.2">
      <c r="A68" s="28">
        <v>40086</v>
      </c>
      <c r="B68" s="34">
        <v>189</v>
      </c>
      <c r="C68" s="35">
        <v>175</v>
      </c>
      <c r="D68" s="36">
        <v>206</v>
      </c>
      <c r="E68" s="34">
        <v>281</v>
      </c>
      <c r="F68" s="37">
        <v>159.4</v>
      </c>
      <c r="G68" s="38"/>
      <c r="H68" s="38">
        <v>42</v>
      </c>
      <c r="I68" s="48">
        <v>6</v>
      </c>
      <c r="J68" s="44">
        <v>5.13</v>
      </c>
    </row>
    <row r="69" spans="1:10" x14ac:dyDescent="0.2">
      <c r="A69" s="30">
        <v>39994</v>
      </c>
      <c r="B69" s="39">
        <v>221</v>
      </c>
      <c r="C69" s="40">
        <v>173</v>
      </c>
      <c r="D69" s="41">
        <v>267</v>
      </c>
      <c r="E69" s="39">
        <v>260</v>
      </c>
      <c r="F69" s="42">
        <v>167.7</v>
      </c>
      <c r="G69" s="43"/>
      <c r="H69" s="43">
        <v>59</v>
      </c>
      <c r="I69" s="47">
        <v>4.5</v>
      </c>
      <c r="J69" s="45">
        <v>5.13</v>
      </c>
    </row>
    <row r="70" spans="1:10" x14ac:dyDescent="0.2">
      <c r="A70" s="28">
        <v>39903</v>
      </c>
      <c r="B70" s="34">
        <v>266</v>
      </c>
      <c r="C70" s="35">
        <v>136</v>
      </c>
      <c r="D70" s="36">
        <v>336</v>
      </c>
      <c r="E70" s="34">
        <v>291</v>
      </c>
      <c r="F70" s="37">
        <v>244.6</v>
      </c>
      <c r="G70" s="38"/>
      <c r="H70" s="38">
        <v>103</v>
      </c>
      <c r="I70" s="48">
        <v>8.8000000000000007</v>
      </c>
      <c r="J70" s="44">
        <v>5.13</v>
      </c>
    </row>
    <row r="71" spans="1:10" x14ac:dyDescent="0.2">
      <c r="A71" s="30">
        <v>39813</v>
      </c>
      <c r="B71" s="39">
        <v>231</v>
      </c>
      <c r="C71" s="40">
        <v>144</v>
      </c>
      <c r="D71" s="41">
        <v>164</v>
      </c>
      <c r="E71" s="39">
        <v>295</v>
      </c>
      <c r="F71" s="42">
        <v>171.3</v>
      </c>
      <c r="G71" s="43"/>
      <c r="H71" s="43">
        <v>19</v>
      </c>
      <c r="I71" s="47">
        <v>14.7</v>
      </c>
      <c r="J71" s="45">
        <v>5.13</v>
      </c>
    </row>
    <row r="72" spans="1:10" x14ac:dyDescent="0.2">
      <c r="A72" s="28">
        <v>39721</v>
      </c>
      <c r="B72" s="34">
        <v>244</v>
      </c>
      <c r="C72" s="35">
        <v>135</v>
      </c>
      <c r="D72" s="36">
        <v>176</v>
      </c>
      <c r="E72" s="34">
        <v>240</v>
      </c>
      <c r="F72" s="37">
        <v>94.6</v>
      </c>
      <c r="G72" s="38"/>
      <c r="H72" s="38">
        <v>25</v>
      </c>
      <c r="I72" s="48">
        <v>7.6</v>
      </c>
      <c r="J72" s="44">
        <v>5.13</v>
      </c>
    </row>
    <row r="73" spans="1:10" x14ac:dyDescent="0.2">
      <c r="A73" s="30">
        <v>39629</v>
      </c>
      <c r="B73" s="39">
        <v>194</v>
      </c>
      <c r="C73" s="40">
        <v>118</v>
      </c>
      <c r="D73" s="41">
        <v>149</v>
      </c>
      <c r="E73" s="39">
        <v>292</v>
      </c>
      <c r="F73" s="42">
        <v>87.5</v>
      </c>
      <c r="G73" s="43"/>
      <c r="H73" s="43">
        <v>15</v>
      </c>
      <c r="I73" s="47">
        <v>10.9</v>
      </c>
      <c r="J73" s="45">
        <v>5.13</v>
      </c>
    </row>
    <row r="74" spans="1:10" x14ac:dyDescent="0.2">
      <c r="A74" s="28">
        <v>39538</v>
      </c>
      <c r="B74" s="34">
        <v>171</v>
      </c>
      <c r="C74" s="35">
        <v>107</v>
      </c>
      <c r="D74" s="36">
        <v>122</v>
      </c>
      <c r="E74" s="34">
        <v>341</v>
      </c>
      <c r="F74" s="37">
        <v>90.1</v>
      </c>
      <c r="G74" s="38"/>
      <c r="H74" s="38">
        <v>13</v>
      </c>
      <c r="I74" s="48">
        <v>10.8</v>
      </c>
      <c r="J74" s="44">
        <v>5.13</v>
      </c>
    </row>
    <row r="75" spans="1:10" x14ac:dyDescent="0.2">
      <c r="A75" s="30">
        <v>39447</v>
      </c>
      <c r="B75" s="39">
        <v>138</v>
      </c>
      <c r="C75" s="40">
        <v>83</v>
      </c>
      <c r="D75" s="41">
        <v>106</v>
      </c>
      <c r="E75" s="39">
        <v>191</v>
      </c>
      <c r="F75" s="42">
        <v>69.8</v>
      </c>
      <c r="G75" s="43"/>
      <c r="H75" s="43">
        <v>18</v>
      </c>
      <c r="I75" s="47">
        <v>8.8000000000000007</v>
      </c>
      <c r="J75" s="45">
        <v>5.13</v>
      </c>
    </row>
    <row r="76" spans="1:10" x14ac:dyDescent="0.2">
      <c r="A76" s="28">
        <v>39355</v>
      </c>
      <c r="B76" s="34">
        <v>131</v>
      </c>
      <c r="C76" s="35">
        <v>84</v>
      </c>
      <c r="D76" s="36">
        <v>107</v>
      </c>
      <c r="E76" s="34">
        <v>141</v>
      </c>
      <c r="F76" s="37">
        <v>46.7</v>
      </c>
      <c r="G76" s="38"/>
      <c r="H76" s="38">
        <v>35</v>
      </c>
      <c r="I76" s="48">
        <v>11.4</v>
      </c>
      <c r="J76" s="44">
        <v>5.13</v>
      </c>
    </row>
    <row r="77" spans="1:10" x14ac:dyDescent="0.2">
      <c r="A77" s="30">
        <v>39263</v>
      </c>
      <c r="B77" s="39">
        <v>135</v>
      </c>
      <c r="C77" s="40">
        <v>93</v>
      </c>
      <c r="D77" s="41">
        <v>110</v>
      </c>
      <c r="E77" s="39">
        <v>138</v>
      </c>
      <c r="F77" s="42">
        <v>42.7</v>
      </c>
      <c r="G77" s="43"/>
      <c r="H77" s="43">
        <v>10</v>
      </c>
      <c r="I77" s="47">
        <v>9.5</v>
      </c>
      <c r="J77" s="45">
        <v>5.13</v>
      </c>
    </row>
    <row r="78" spans="1:10" x14ac:dyDescent="0.2">
      <c r="A78" s="28">
        <v>39172</v>
      </c>
      <c r="B78" s="34">
        <v>154</v>
      </c>
      <c r="C78" s="35">
        <v>78</v>
      </c>
      <c r="D78" s="36">
        <v>83</v>
      </c>
      <c r="E78" s="34">
        <v>102</v>
      </c>
      <c r="F78" s="37">
        <v>41.3</v>
      </c>
      <c r="G78" s="38"/>
      <c r="H78" s="38">
        <v>12</v>
      </c>
      <c r="I78" s="48">
        <v>9.1</v>
      </c>
      <c r="J78" s="44">
        <v>5.13</v>
      </c>
    </row>
    <row r="79" spans="1:10" x14ac:dyDescent="0.2">
      <c r="H79" s="45"/>
    </row>
  </sheetData>
  <mergeCells count="1">
    <mergeCell ref="F2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1E500-500B-4EAA-BCCA-F4B97E79DD1B}">
  <dimension ref="A1:K50"/>
  <sheetViews>
    <sheetView workbookViewId="0">
      <selection activeCell="A3" sqref="A3:K50"/>
    </sheetView>
  </sheetViews>
  <sheetFormatPr baseColWidth="10" defaultColWidth="11.5" defaultRowHeight="15" x14ac:dyDescent="0.2"/>
  <cols>
    <col min="1" max="1" width="9.1640625" bestFit="1" customWidth="1"/>
    <col min="2" max="2" width="18.6640625" customWidth="1"/>
    <col min="3" max="3" width="17.5" customWidth="1"/>
    <col min="4" max="4" width="13.1640625" customWidth="1"/>
    <col min="5" max="5" width="12.5" bestFit="1" customWidth="1"/>
    <col min="6" max="6" width="22.6640625" customWidth="1"/>
    <col min="7" max="7" width="23" customWidth="1"/>
    <col min="8" max="8" width="16" bestFit="1" customWidth="1"/>
    <col min="9" max="10" width="16" customWidth="1"/>
    <col min="11" max="11" width="12.83203125" customWidth="1"/>
    <col min="12" max="12" width="118.5" customWidth="1"/>
    <col min="13" max="13" width="10.5" bestFit="1" customWidth="1"/>
    <col min="14" max="14" width="16.5" bestFit="1" customWidth="1"/>
  </cols>
  <sheetData>
    <row r="1" spans="1:11" x14ac:dyDescent="0.2">
      <c r="A1" s="7" t="s">
        <v>0</v>
      </c>
      <c r="B1" s="7" t="s">
        <v>9</v>
      </c>
      <c r="C1" s="7" t="s">
        <v>10</v>
      </c>
      <c r="D1" s="7" t="s">
        <v>11</v>
      </c>
      <c r="E1" s="7" t="s">
        <v>7</v>
      </c>
      <c r="F1" s="33" t="s">
        <v>12</v>
      </c>
      <c r="G1" s="33"/>
      <c r="H1" s="7" t="s">
        <v>8</v>
      </c>
      <c r="I1" s="7" t="s">
        <v>4</v>
      </c>
      <c r="J1" s="7" t="s">
        <v>5</v>
      </c>
      <c r="K1" s="7" t="s">
        <v>13</v>
      </c>
    </row>
    <row r="2" spans="1:11" s="7" customFormat="1" x14ac:dyDescent="0.2">
      <c r="A2" s="6" t="s">
        <v>1</v>
      </c>
      <c r="B2" s="5" t="s">
        <v>3</v>
      </c>
      <c r="C2" s="5" t="s">
        <v>14</v>
      </c>
      <c r="D2" s="5" t="s">
        <v>15</v>
      </c>
      <c r="E2" s="5" t="s">
        <v>16</v>
      </c>
      <c r="F2" s="5" t="s">
        <v>17</v>
      </c>
      <c r="G2" s="5" t="s">
        <v>18</v>
      </c>
      <c r="H2" s="5" t="s">
        <v>19</v>
      </c>
      <c r="I2" s="7" t="s">
        <v>20</v>
      </c>
      <c r="J2" s="7" t="s">
        <v>21</v>
      </c>
      <c r="K2" s="7" t="s">
        <v>22</v>
      </c>
    </row>
    <row r="3" spans="1:11" ht="16" thickBot="1" x14ac:dyDescent="0.25">
      <c r="A3" s="9" t="s">
        <v>2</v>
      </c>
      <c r="B3" s="10">
        <v>0.95</v>
      </c>
      <c r="C3" s="10">
        <v>0.95</v>
      </c>
      <c r="D3" s="10">
        <v>0.95</v>
      </c>
      <c r="E3" s="10">
        <v>0.99</v>
      </c>
      <c r="F3" s="10">
        <v>0.99</v>
      </c>
      <c r="G3" s="10">
        <v>0.95</v>
      </c>
      <c r="H3" s="10">
        <v>0.99</v>
      </c>
      <c r="I3" s="11">
        <v>0.99</v>
      </c>
      <c r="J3" s="11">
        <v>0.99</v>
      </c>
      <c r="K3" s="11">
        <v>0.99</v>
      </c>
    </row>
    <row r="4" spans="1:11" x14ac:dyDescent="0.2">
      <c r="A4" s="12">
        <v>45930</v>
      </c>
      <c r="B4" s="13">
        <v>91</v>
      </c>
      <c r="C4" s="13">
        <v>59</v>
      </c>
      <c r="D4" s="13">
        <v>33</v>
      </c>
      <c r="E4" s="13">
        <v>128</v>
      </c>
      <c r="F4" s="13">
        <v>71</v>
      </c>
      <c r="G4" s="13">
        <v>31</v>
      </c>
      <c r="H4" s="13">
        <v>33</v>
      </c>
      <c r="I4" s="14">
        <v>0.1</v>
      </c>
      <c r="J4" s="13">
        <v>1.6</v>
      </c>
      <c r="K4" s="7">
        <f>mellomberegning!$A$1/1000</f>
        <v>9.3919999999999995</v>
      </c>
    </row>
    <row r="5" spans="1:11" x14ac:dyDescent="0.2">
      <c r="A5" s="15">
        <v>45838</v>
      </c>
      <c r="B5" s="13">
        <v>98</v>
      </c>
      <c r="C5" s="13">
        <v>50</v>
      </c>
      <c r="D5" s="13">
        <v>42</v>
      </c>
      <c r="E5" s="13">
        <v>130</v>
      </c>
      <c r="F5" s="13">
        <v>89</v>
      </c>
      <c r="G5" s="13">
        <v>38</v>
      </c>
      <c r="H5" s="13">
        <v>30</v>
      </c>
      <c r="I5" s="16">
        <v>2.1</v>
      </c>
      <c r="J5" s="13">
        <v>2.6</v>
      </c>
      <c r="K5" s="7">
        <f>mellomberegning!A2/1000</f>
        <v>6.6970000000000001</v>
      </c>
    </row>
    <row r="6" spans="1:11" ht="17" customHeight="1" x14ac:dyDescent="0.2">
      <c r="A6" s="15">
        <v>45747</v>
      </c>
      <c r="B6" s="13">
        <v>91</v>
      </c>
      <c r="C6" s="13">
        <v>50</v>
      </c>
      <c r="D6" s="13">
        <v>50</v>
      </c>
      <c r="E6" s="13">
        <v>129</v>
      </c>
      <c r="F6" s="13">
        <v>99</v>
      </c>
      <c r="G6" s="13">
        <v>44</v>
      </c>
      <c r="H6" s="13">
        <v>25</v>
      </c>
      <c r="I6" s="17">
        <v>1.3</v>
      </c>
      <c r="J6" s="13">
        <v>1.7</v>
      </c>
      <c r="K6" s="7">
        <f>mellomberegning!A3/1000</f>
        <v>9.7089999999999996</v>
      </c>
    </row>
    <row r="7" spans="1:11" ht="16" customHeight="1" x14ac:dyDescent="0.2">
      <c r="A7" s="15">
        <v>45657</v>
      </c>
      <c r="B7" s="18">
        <v>96</v>
      </c>
      <c r="C7" s="13">
        <v>46</v>
      </c>
      <c r="D7" s="13">
        <v>40</v>
      </c>
      <c r="E7" s="13">
        <v>125</v>
      </c>
      <c r="F7" s="13">
        <v>74</v>
      </c>
      <c r="G7" s="13">
        <v>38</v>
      </c>
      <c r="H7" s="13">
        <v>24</v>
      </c>
      <c r="I7" s="19">
        <v>0.8</v>
      </c>
      <c r="J7" s="13">
        <v>1.7</v>
      </c>
      <c r="K7" s="7">
        <f>mellomberegning!A4/1000</f>
        <v>11.483000000000001</v>
      </c>
    </row>
    <row r="8" spans="1:11" x14ac:dyDescent="0.2">
      <c r="A8" s="15">
        <v>45565</v>
      </c>
      <c r="B8" s="13">
        <v>92</v>
      </c>
      <c r="C8" s="13">
        <v>46</v>
      </c>
      <c r="D8" s="13">
        <v>45</v>
      </c>
      <c r="E8" s="13">
        <v>119</v>
      </c>
      <c r="F8" s="13">
        <v>81</v>
      </c>
      <c r="G8" s="13">
        <v>42</v>
      </c>
      <c r="H8" s="13">
        <v>24</v>
      </c>
      <c r="I8" s="20">
        <v>0.9</v>
      </c>
      <c r="J8" s="13">
        <v>2</v>
      </c>
      <c r="K8" s="7">
        <f>mellomberegning!A5/1000</f>
        <v>14.117000000000001</v>
      </c>
    </row>
    <row r="9" spans="1:11" x14ac:dyDescent="0.2">
      <c r="A9" s="15">
        <v>45473</v>
      </c>
      <c r="B9" s="13">
        <v>91</v>
      </c>
      <c r="C9" s="13">
        <v>48</v>
      </c>
      <c r="D9" s="13">
        <v>56</v>
      </c>
      <c r="E9" s="13">
        <v>124</v>
      </c>
      <c r="F9" s="13">
        <v>96</v>
      </c>
      <c r="G9" s="13">
        <v>48</v>
      </c>
      <c r="H9" s="13">
        <v>29</v>
      </c>
      <c r="I9" s="19">
        <v>0.9</v>
      </c>
      <c r="J9" s="13">
        <v>1.8</v>
      </c>
      <c r="K9" s="7">
        <f>mellomberegning!A6/1000</f>
        <v>18.667000000000002</v>
      </c>
    </row>
    <row r="10" spans="1:11" x14ac:dyDescent="0.2">
      <c r="A10" s="15">
        <v>45382</v>
      </c>
      <c r="B10" s="13">
        <v>87</v>
      </c>
      <c r="C10" s="13">
        <v>54</v>
      </c>
      <c r="D10" s="13">
        <v>48</v>
      </c>
      <c r="E10" s="13">
        <v>165</v>
      </c>
      <c r="F10" s="13">
        <v>85</v>
      </c>
      <c r="G10" s="13">
        <v>46</v>
      </c>
      <c r="H10" s="13">
        <v>40</v>
      </c>
      <c r="I10" s="20">
        <v>0.8</v>
      </c>
      <c r="J10" s="13">
        <v>1.8</v>
      </c>
      <c r="K10" s="7">
        <f>mellomberegning!A7/1000</f>
        <v>12.186</v>
      </c>
    </row>
    <row r="11" spans="1:11" x14ac:dyDescent="0.2">
      <c r="A11" s="15">
        <v>45291</v>
      </c>
      <c r="B11" s="13">
        <v>91</v>
      </c>
      <c r="C11" s="13">
        <v>46</v>
      </c>
      <c r="D11" s="13">
        <v>35</v>
      </c>
      <c r="E11" s="13">
        <v>153</v>
      </c>
      <c r="F11" s="13">
        <v>86</v>
      </c>
      <c r="G11" s="13">
        <v>46</v>
      </c>
      <c r="H11" s="13">
        <v>32</v>
      </c>
      <c r="I11" s="19">
        <v>1.1000000000000001</v>
      </c>
      <c r="J11" s="13">
        <v>2.2000000000000002</v>
      </c>
      <c r="K11" s="7">
        <f>mellomberegning!A8/1000</f>
        <v>15.157</v>
      </c>
    </row>
    <row r="12" spans="1:11" x14ac:dyDescent="0.2">
      <c r="A12" s="15">
        <v>45199</v>
      </c>
      <c r="B12" s="13">
        <v>87</v>
      </c>
      <c r="C12" s="13">
        <v>48</v>
      </c>
      <c r="D12" s="13">
        <v>41</v>
      </c>
      <c r="E12" s="13">
        <v>132</v>
      </c>
      <c r="F12" s="13">
        <v>77</v>
      </c>
      <c r="G12" s="13">
        <v>41</v>
      </c>
      <c r="H12" s="13">
        <v>34</v>
      </c>
      <c r="I12" s="20">
        <v>1.1000000000000001</v>
      </c>
      <c r="J12" s="13">
        <v>2.1</v>
      </c>
      <c r="K12" s="7">
        <f>mellomberegning!A9/1000</f>
        <v>11.964</v>
      </c>
    </row>
    <row r="13" spans="1:11" x14ac:dyDescent="0.2">
      <c r="A13" s="15">
        <v>45107</v>
      </c>
      <c r="B13" s="13">
        <v>117</v>
      </c>
      <c r="C13" s="13">
        <v>52</v>
      </c>
      <c r="D13" s="13">
        <v>47</v>
      </c>
      <c r="E13" s="13">
        <v>148</v>
      </c>
      <c r="F13" s="13">
        <v>81</v>
      </c>
      <c r="G13" s="13">
        <v>45</v>
      </c>
      <c r="H13" s="13">
        <v>35</v>
      </c>
      <c r="I13" s="19">
        <v>1</v>
      </c>
      <c r="J13" s="13">
        <v>3</v>
      </c>
      <c r="K13" s="7">
        <f>mellomberegning!A10/1000</f>
        <v>9.7750000000000004</v>
      </c>
    </row>
    <row r="14" spans="1:11" x14ac:dyDescent="0.2">
      <c r="A14" s="15">
        <v>45016</v>
      </c>
      <c r="B14" s="13">
        <v>101</v>
      </c>
      <c r="C14" s="13">
        <v>55</v>
      </c>
      <c r="D14" s="13">
        <v>47</v>
      </c>
      <c r="E14" s="13">
        <v>161</v>
      </c>
      <c r="F14" s="13">
        <v>124</v>
      </c>
      <c r="G14" s="13">
        <v>45</v>
      </c>
      <c r="H14" s="13">
        <v>39</v>
      </c>
      <c r="I14" s="20">
        <v>1.1000000000000001</v>
      </c>
      <c r="J14" s="13">
        <v>4</v>
      </c>
      <c r="K14" s="7">
        <f>mellomberegning!A11/1000</f>
        <v>9.5169999999999995</v>
      </c>
    </row>
    <row r="15" spans="1:11" x14ac:dyDescent="0.2">
      <c r="A15" s="15">
        <v>44926</v>
      </c>
      <c r="B15" s="13">
        <v>102</v>
      </c>
      <c r="C15" s="13">
        <v>64</v>
      </c>
      <c r="D15" s="13">
        <v>61</v>
      </c>
      <c r="E15" s="13">
        <v>184</v>
      </c>
      <c r="F15" s="13">
        <v>68</v>
      </c>
      <c r="G15" s="13">
        <v>35</v>
      </c>
      <c r="H15" s="13">
        <v>43</v>
      </c>
      <c r="I15" s="19">
        <v>0.4</v>
      </c>
      <c r="J15" s="13">
        <v>4.5</v>
      </c>
      <c r="K15" s="7">
        <f>mellomberegning!A12/1000</f>
        <v>7.8159999999999998</v>
      </c>
    </row>
    <row r="16" spans="1:11" x14ac:dyDescent="0.2">
      <c r="A16" s="15">
        <v>44834</v>
      </c>
      <c r="B16" s="13">
        <v>128</v>
      </c>
      <c r="C16" s="13">
        <v>61</v>
      </c>
      <c r="D16" s="13">
        <v>54</v>
      </c>
      <c r="E16" s="13">
        <v>159</v>
      </c>
      <c r="F16" s="13">
        <v>51</v>
      </c>
      <c r="G16" s="13">
        <v>23</v>
      </c>
      <c r="H16" s="13">
        <v>37</v>
      </c>
      <c r="I16" s="20">
        <v>0.7</v>
      </c>
      <c r="J16" s="13">
        <v>4.5</v>
      </c>
      <c r="K16" s="7">
        <f>mellomberegning!A13/1000</f>
        <v>7.359</v>
      </c>
    </row>
    <row r="17" spans="1:11" x14ac:dyDescent="0.2">
      <c r="A17" s="15">
        <v>44742</v>
      </c>
      <c r="B17" s="13">
        <v>124</v>
      </c>
      <c r="C17" s="13">
        <v>46</v>
      </c>
      <c r="D17" s="13">
        <v>54</v>
      </c>
      <c r="E17" s="13">
        <v>135</v>
      </c>
      <c r="F17" s="13">
        <v>84</v>
      </c>
      <c r="G17" s="13">
        <v>35</v>
      </c>
      <c r="H17" s="13">
        <v>32</v>
      </c>
      <c r="I17" s="19">
        <v>1.1000000000000001</v>
      </c>
      <c r="J17" s="13">
        <v>6.9</v>
      </c>
      <c r="K17" s="7">
        <f>mellomberegning!A14/1000</f>
        <v>8.1639999999999997</v>
      </c>
    </row>
    <row r="18" spans="1:11" x14ac:dyDescent="0.2">
      <c r="A18" s="15">
        <v>44651</v>
      </c>
      <c r="B18" s="13">
        <v>98</v>
      </c>
      <c r="C18" s="13">
        <v>39</v>
      </c>
      <c r="D18" s="13">
        <v>63</v>
      </c>
      <c r="E18" s="13">
        <v>137</v>
      </c>
      <c r="F18" s="13">
        <v>91</v>
      </c>
      <c r="G18" s="13">
        <v>39</v>
      </c>
      <c r="H18" s="13">
        <v>27</v>
      </c>
      <c r="I18" s="20">
        <v>0.8</v>
      </c>
      <c r="J18" s="13">
        <v>4.9000000000000004</v>
      </c>
      <c r="K18" s="7">
        <f>mellomberegning!A15/1000</f>
        <v>11.327999999999999</v>
      </c>
    </row>
    <row r="19" spans="1:11" x14ac:dyDescent="0.2">
      <c r="A19" s="15">
        <v>44561</v>
      </c>
      <c r="B19" s="13">
        <v>83</v>
      </c>
      <c r="C19" s="13">
        <v>40</v>
      </c>
      <c r="D19" s="13">
        <v>37</v>
      </c>
      <c r="E19" s="13">
        <v>128</v>
      </c>
      <c r="F19" s="13">
        <v>74</v>
      </c>
      <c r="G19" s="13">
        <v>38</v>
      </c>
      <c r="H19" s="13">
        <v>23</v>
      </c>
      <c r="I19" s="19">
        <v>0.9</v>
      </c>
      <c r="J19" s="13">
        <v>3.5</v>
      </c>
      <c r="K19" s="7">
        <f>mellomberegning!A16/1000</f>
        <v>15.468</v>
      </c>
    </row>
    <row r="20" spans="1:11" x14ac:dyDescent="0.2">
      <c r="A20" s="15">
        <v>44469</v>
      </c>
      <c r="B20" s="13">
        <v>80</v>
      </c>
      <c r="C20" s="13">
        <v>45</v>
      </c>
      <c r="D20" s="13">
        <v>36</v>
      </c>
      <c r="E20" s="13">
        <v>139</v>
      </c>
      <c r="F20" s="13">
        <v>66</v>
      </c>
      <c r="G20" s="13">
        <v>29</v>
      </c>
      <c r="H20" s="13">
        <v>33</v>
      </c>
      <c r="I20" s="20">
        <v>1</v>
      </c>
      <c r="J20" s="13">
        <v>3.4</v>
      </c>
      <c r="K20" s="7">
        <f>mellomberegning!A17/1000</f>
        <v>17.503</v>
      </c>
    </row>
    <row r="21" spans="1:11" x14ac:dyDescent="0.2">
      <c r="A21" s="15">
        <v>44377</v>
      </c>
      <c r="B21" s="13">
        <v>90</v>
      </c>
      <c r="C21" s="13">
        <v>48</v>
      </c>
      <c r="D21" s="13">
        <v>43</v>
      </c>
      <c r="E21" s="13">
        <v>134</v>
      </c>
      <c r="F21" s="13">
        <v>84</v>
      </c>
      <c r="G21" s="13">
        <v>35</v>
      </c>
      <c r="H21" s="13">
        <v>43</v>
      </c>
      <c r="I21" s="19">
        <v>1.1000000000000001</v>
      </c>
      <c r="J21" s="13">
        <v>3</v>
      </c>
      <c r="K21" s="7">
        <f>mellomberegning!A18/1000</f>
        <v>16.594000000000001</v>
      </c>
    </row>
    <row r="22" spans="1:11" x14ac:dyDescent="0.2">
      <c r="A22" s="15">
        <v>44286</v>
      </c>
      <c r="B22" s="13">
        <v>89</v>
      </c>
      <c r="C22" s="13">
        <v>69</v>
      </c>
      <c r="D22" s="13">
        <v>106</v>
      </c>
      <c r="E22" s="13">
        <v>123</v>
      </c>
      <c r="F22" s="13">
        <v>99</v>
      </c>
      <c r="G22" s="13">
        <v>44</v>
      </c>
      <c r="H22" s="13">
        <v>98</v>
      </c>
      <c r="I22" s="20">
        <v>2.1</v>
      </c>
      <c r="J22" s="13">
        <v>3.2</v>
      </c>
      <c r="K22" s="7">
        <f>mellomberegning!A19/1000</f>
        <v>15.186999999999999</v>
      </c>
    </row>
    <row r="23" spans="1:11" x14ac:dyDescent="0.2">
      <c r="A23" s="15">
        <v>44196</v>
      </c>
      <c r="B23" s="13">
        <v>84</v>
      </c>
      <c r="C23" s="13">
        <v>55</v>
      </c>
      <c r="D23" s="13">
        <v>96</v>
      </c>
      <c r="E23" s="13">
        <v>126</v>
      </c>
      <c r="F23" s="13">
        <v>74</v>
      </c>
      <c r="G23" s="13">
        <v>38</v>
      </c>
      <c r="H23" s="13">
        <v>151</v>
      </c>
      <c r="I23" s="19">
        <v>2.1</v>
      </c>
      <c r="J23" s="13">
        <v>3.5</v>
      </c>
      <c r="K23" s="7">
        <f>mellomberegning!A20/1000</f>
        <v>16.61</v>
      </c>
    </row>
    <row r="24" spans="1:11" x14ac:dyDescent="0.2">
      <c r="A24" s="15">
        <v>44104</v>
      </c>
      <c r="B24" s="13">
        <v>91</v>
      </c>
      <c r="C24" s="13">
        <v>58</v>
      </c>
      <c r="D24" s="13">
        <v>90</v>
      </c>
      <c r="E24" s="13">
        <v>130</v>
      </c>
      <c r="F24" s="13">
        <v>71</v>
      </c>
      <c r="G24" s="13">
        <v>31</v>
      </c>
      <c r="H24" s="13">
        <v>153</v>
      </c>
      <c r="I24" s="20">
        <v>2.5</v>
      </c>
      <c r="J24" s="13">
        <v>3.4</v>
      </c>
      <c r="K24" s="7">
        <f>mellomberegning!A21/1000</f>
        <v>14.718</v>
      </c>
    </row>
    <row r="25" spans="1:11" x14ac:dyDescent="0.2">
      <c r="A25" s="15">
        <v>44012</v>
      </c>
      <c r="B25" s="13">
        <v>122</v>
      </c>
      <c r="C25" s="13">
        <v>60</v>
      </c>
      <c r="D25" s="13">
        <v>130</v>
      </c>
      <c r="E25" s="13">
        <v>245</v>
      </c>
      <c r="F25" s="13">
        <v>89</v>
      </c>
      <c r="G25" s="13">
        <v>38</v>
      </c>
      <c r="H25" s="13">
        <v>155</v>
      </c>
      <c r="I25" s="19">
        <v>2.1</v>
      </c>
      <c r="J25" s="13">
        <v>4.7</v>
      </c>
      <c r="K25" s="7">
        <f>mellomberegning!A22/1000</f>
        <v>11.255000000000001</v>
      </c>
    </row>
    <row r="26" spans="1:11" x14ac:dyDescent="0.2">
      <c r="A26" s="15">
        <v>43921</v>
      </c>
      <c r="B26" s="13">
        <v>81</v>
      </c>
      <c r="C26" s="13">
        <v>40</v>
      </c>
      <c r="D26" s="13">
        <v>59</v>
      </c>
      <c r="E26" s="13">
        <v>119</v>
      </c>
      <c r="F26" s="13">
        <v>99</v>
      </c>
      <c r="G26" s="13">
        <v>44</v>
      </c>
      <c r="H26" s="13">
        <v>33</v>
      </c>
      <c r="I26" s="20">
        <v>2.6</v>
      </c>
      <c r="J26" s="13">
        <v>6.4</v>
      </c>
      <c r="K26" s="7">
        <f>mellomberegning!A23/1000</f>
        <v>9.5280000000000005</v>
      </c>
    </row>
    <row r="27" spans="1:11" x14ac:dyDescent="0.2">
      <c r="A27" s="15">
        <v>43830</v>
      </c>
      <c r="B27" s="13">
        <v>58</v>
      </c>
      <c r="C27" s="13">
        <v>39</v>
      </c>
      <c r="D27" s="13">
        <v>37</v>
      </c>
      <c r="E27" s="13">
        <v>67</v>
      </c>
      <c r="F27" s="13">
        <v>86</v>
      </c>
      <c r="G27" s="13">
        <v>46</v>
      </c>
      <c r="H27" s="13">
        <v>31</v>
      </c>
      <c r="I27" s="19">
        <v>0.8</v>
      </c>
      <c r="J27" s="13">
        <v>5.7</v>
      </c>
      <c r="K27" s="7">
        <f>mellomberegning!A24/1000</f>
        <v>10.103999999999999</v>
      </c>
    </row>
    <row r="28" spans="1:11" x14ac:dyDescent="0.2">
      <c r="A28" s="15">
        <v>43738</v>
      </c>
      <c r="B28" s="13">
        <v>58</v>
      </c>
      <c r="C28" s="13">
        <v>42</v>
      </c>
      <c r="D28" s="13">
        <v>39</v>
      </c>
      <c r="E28" s="13">
        <v>66</v>
      </c>
      <c r="F28" s="13">
        <v>81</v>
      </c>
      <c r="G28" s="13">
        <v>45</v>
      </c>
      <c r="H28" s="13">
        <v>24</v>
      </c>
      <c r="I28" s="20">
        <v>0.8</v>
      </c>
      <c r="J28" s="13">
        <v>6.1</v>
      </c>
      <c r="K28" s="7">
        <f>mellomberegning!A25/1000</f>
        <v>10.438000000000001</v>
      </c>
    </row>
    <row r="29" spans="1:11" x14ac:dyDescent="0.2">
      <c r="A29" s="15">
        <v>43646</v>
      </c>
      <c r="B29" s="13">
        <v>52</v>
      </c>
      <c r="C29" s="13">
        <v>42</v>
      </c>
      <c r="D29" s="13">
        <v>46</v>
      </c>
      <c r="E29" s="13">
        <v>69</v>
      </c>
      <c r="F29" s="13">
        <v>96</v>
      </c>
      <c r="G29" s="13">
        <v>48</v>
      </c>
      <c r="H29" s="13">
        <v>20</v>
      </c>
      <c r="I29" s="19">
        <v>0.3</v>
      </c>
      <c r="J29" s="13">
        <v>5.3</v>
      </c>
      <c r="K29" s="7">
        <f>mellomberegning!A26/1000</f>
        <v>10.936999999999999</v>
      </c>
    </row>
    <row r="30" spans="1:11" x14ac:dyDescent="0.2">
      <c r="A30" s="15">
        <v>43555</v>
      </c>
      <c r="B30" s="13">
        <v>55</v>
      </c>
      <c r="C30" s="13">
        <v>46</v>
      </c>
      <c r="D30" s="13">
        <v>52</v>
      </c>
      <c r="E30" s="13">
        <v>81</v>
      </c>
      <c r="F30" s="13">
        <v>85</v>
      </c>
      <c r="G30" s="13">
        <v>46</v>
      </c>
      <c r="H30" s="13">
        <v>15</v>
      </c>
      <c r="I30" s="20">
        <v>0.6</v>
      </c>
      <c r="J30" s="13">
        <v>6.2</v>
      </c>
      <c r="K30" s="7">
        <f>mellomberegning!A27/1000</f>
        <v>9.8719999999999999</v>
      </c>
    </row>
    <row r="31" spans="1:11" x14ac:dyDescent="0.2">
      <c r="A31" s="15">
        <v>43465</v>
      </c>
      <c r="B31" s="13">
        <v>49</v>
      </c>
      <c r="C31" s="13">
        <v>49</v>
      </c>
      <c r="D31" s="13">
        <v>51</v>
      </c>
      <c r="E31" s="13">
        <v>95</v>
      </c>
      <c r="F31" s="13">
        <v>86</v>
      </c>
      <c r="G31" s="13">
        <v>46</v>
      </c>
      <c r="H31" s="13">
        <v>16</v>
      </c>
      <c r="I31" s="19">
        <v>0.6</v>
      </c>
      <c r="J31" s="13">
        <v>6.6</v>
      </c>
      <c r="K31" s="7">
        <f>mellomberegning!A28/1000</f>
        <v>10.64</v>
      </c>
    </row>
    <row r="32" spans="1:11" x14ac:dyDescent="0.2">
      <c r="A32" s="15">
        <v>43373</v>
      </c>
      <c r="B32" s="13">
        <v>53</v>
      </c>
      <c r="C32" s="13">
        <v>42</v>
      </c>
      <c r="D32" s="13">
        <v>35</v>
      </c>
      <c r="E32" s="13">
        <v>82</v>
      </c>
      <c r="F32" s="13">
        <v>77</v>
      </c>
      <c r="G32" s="13">
        <v>41</v>
      </c>
      <c r="H32" s="13">
        <v>12</v>
      </c>
      <c r="I32" s="20">
        <v>0.4</v>
      </c>
      <c r="J32" s="13">
        <v>4.7</v>
      </c>
      <c r="K32" s="7">
        <f>mellomberegning!A29/1000</f>
        <v>6.0110000000000001</v>
      </c>
    </row>
    <row r="33" spans="1:11" x14ac:dyDescent="0.2">
      <c r="A33" s="15">
        <v>43281</v>
      </c>
      <c r="B33" s="13">
        <v>64</v>
      </c>
      <c r="C33" s="13">
        <v>44</v>
      </c>
      <c r="D33" s="13">
        <v>35</v>
      </c>
      <c r="E33" s="13">
        <v>90</v>
      </c>
      <c r="F33" s="13">
        <v>96</v>
      </c>
      <c r="G33" s="13">
        <v>48</v>
      </c>
      <c r="H33" s="13">
        <v>15</v>
      </c>
      <c r="I33" s="19">
        <v>0.9</v>
      </c>
      <c r="J33" s="13">
        <v>5.3</v>
      </c>
      <c r="K33" s="7">
        <f>mellomberegning!A30/1000</f>
        <v>6.548</v>
      </c>
    </row>
    <row r="34" spans="1:11" x14ac:dyDescent="0.2">
      <c r="A34" s="15">
        <v>43190</v>
      </c>
      <c r="B34" s="13">
        <v>73</v>
      </c>
      <c r="C34" s="13">
        <v>46</v>
      </c>
      <c r="D34" s="13">
        <v>43</v>
      </c>
      <c r="E34" s="13">
        <v>102</v>
      </c>
      <c r="F34" s="13">
        <v>85</v>
      </c>
      <c r="G34" s="13">
        <v>46</v>
      </c>
      <c r="H34" s="13">
        <v>17</v>
      </c>
      <c r="I34" s="20">
        <v>0.8</v>
      </c>
      <c r="J34" s="13">
        <v>6.5</v>
      </c>
      <c r="K34" s="7">
        <f>mellomberegning!A31/1000</f>
        <v>6.62</v>
      </c>
    </row>
    <row r="35" spans="1:11" x14ac:dyDescent="0.2">
      <c r="A35" s="15">
        <v>43100</v>
      </c>
      <c r="B35" s="13">
        <v>54</v>
      </c>
      <c r="C35" s="13">
        <v>38</v>
      </c>
      <c r="D35" s="13">
        <v>34</v>
      </c>
      <c r="E35" s="13">
        <v>93</v>
      </c>
      <c r="F35" s="13">
        <v>86</v>
      </c>
      <c r="G35" s="13">
        <v>46</v>
      </c>
      <c r="H35" s="13">
        <v>13</v>
      </c>
      <c r="I35" s="19">
        <v>0.5</v>
      </c>
      <c r="J35" s="13">
        <v>5</v>
      </c>
      <c r="K35" s="7">
        <f>mellomberegning!A32/1000</f>
        <v>8.4749999999999996</v>
      </c>
    </row>
    <row r="36" spans="1:11" x14ac:dyDescent="0.2">
      <c r="A36" s="15">
        <v>43008</v>
      </c>
      <c r="B36" s="13">
        <v>47</v>
      </c>
      <c r="C36" s="13">
        <v>43</v>
      </c>
      <c r="D36" s="13">
        <v>30</v>
      </c>
      <c r="E36" s="13">
        <v>89</v>
      </c>
      <c r="F36" s="13">
        <v>81</v>
      </c>
      <c r="G36" s="13">
        <v>42</v>
      </c>
      <c r="H36" s="13">
        <v>15</v>
      </c>
      <c r="I36" s="20">
        <v>0.6</v>
      </c>
      <c r="J36" s="13">
        <v>3.8</v>
      </c>
      <c r="K36" s="7">
        <f>mellomberegning!A33/1000</f>
        <v>7.5460000000000003</v>
      </c>
    </row>
    <row r="37" spans="1:11" x14ac:dyDescent="0.2">
      <c r="A37" s="15">
        <v>42916</v>
      </c>
      <c r="B37" s="13">
        <v>51</v>
      </c>
      <c r="C37" s="13">
        <v>51</v>
      </c>
      <c r="D37" s="13">
        <v>27</v>
      </c>
      <c r="E37" s="13">
        <v>96</v>
      </c>
      <c r="F37" s="13">
        <v>96</v>
      </c>
      <c r="G37" s="13">
        <v>48</v>
      </c>
      <c r="H37" s="13">
        <v>29</v>
      </c>
      <c r="I37" s="19">
        <v>1.2</v>
      </c>
      <c r="J37" s="13">
        <v>4.0999999999999996</v>
      </c>
      <c r="K37" s="7">
        <f>mellomberegning!A34/1000</f>
        <v>7.74</v>
      </c>
    </row>
    <row r="38" spans="1:11" x14ac:dyDescent="0.2">
      <c r="A38" s="15">
        <v>42825</v>
      </c>
      <c r="B38" s="13">
        <v>64</v>
      </c>
      <c r="C38" s="13">
        <v>44</v>
      </c>
      <c r="D38" s="13">
        <v>25</v>
      </c>
      <c r="E38" s="13">
        <v>100</v>
      </c>
      <c r="F38" s="13">
        <v>44</v>
      </c>
      <c r="G38" s="13">
        <v>23</v>
      </c>
      <c r="H38" s="13">
        <v>26</v>
      </c>
      <c r="I38" s="20">
        <v>0.6</v>
      </c>
      <c r="J38" s="13">
        <v>4.0999999999999996</v>
      </c>
      <c r="K38" s="7">
        <f>mellomberegning!A35/1000</f>
        <v>6.5949999999999998</v>
      </c>
    </row>
    <row r="39" spans="1:11" x14ac:dyDescent="0.2">
      <c r="A39" s="15">
        <v>42735</v>
      </c>
      <c r="B39" s="13">
        <v>61</v>
      </c>
      <c r="C39" s="13">
        <v>39</v>
      </c>
      <c r="D39" s="13">
        <v>40</v>
      </c>
      <c r="E39" s="13">
        <v>89</v>
      </c>
      <c r="F39" s="13">
        <v>43</v>
      </c>
      <c r="G39" s="13">
        <v>22</v>
      </c>
      <c r="H39" s="13">
        <v>23</v>
      </c>
      <c r="I39" s="19">
        <v>1.5</v>
      </c>
      <c r="J39" s="13">
        <v>5.8</v>
      </c>
      <c r="K39" s="7">
        <f>mellomberegning!A36/1000</f>
        <v>8.2850000000000001</v>
      </c>
    </row>
    <row r="40" spans="1:11" x14ac:dyDescent="0.2">
      <c r="A40" s="15">
        <v>42643</v>
      </c>
      <c r="B40" s="13">
        <v>57</v>
      </c>
      <c r="C40" s="13">
        <v>42</v>
      </c>
      <c r="D40" s="13">
        <v>43</v>
      </c>
      <c r="E40" s="13">
        <v>85</v>
      </c>
      <c r="F40" s="13">
        <v>47</v>
      </c>
      <c r="G40" s="13">
        <v>26</v>
      </c>
      <c r="H40" s="13">
        <v>22</v>
      </c>
      <c r="I40" s="20">
        <v>0.4</v>
      </c>
      <c r="J40" s="13">
        <v>6.6</v>
      </c>
      <c r="K40" s="7">
        <f>mellomberegning!A37/1000</f>
        <v>7.4969999999999999</v>
      </c>
    </row>
    <row r="41" spans="1:11" x14ac:dyDescent="0.2">
      <c r="A41" s="15">
        <v>42551</v>
      </c>
      <c r="B41" s="13">
        <v>62</v>
      </c>
      <c r="C41" s="13">
        <v>46</v>
      </c>
      <c r="D41" s="13">
        <v>45</v>
      </c>
      <c r="E41" s="13">
        <v>88</v>
      </c>
      <c r="F41" s="13">
        <v>54</v>
      </c>
      <c r="G41" s="13">
        <v>27</v>
      </c>
      <c r="H41" s="13">
        <v>21</v>
      </c>
      <c r="I41" s="19">
        <v>0.7</v>
      </c>
      <c r="J41" s="13">
        <v>5.9</v>
      </c>
      <c r="K41" s="7">
        <f>mellomberegning!A38/1000</f>
        <v>5.9859999999999998</v>
      </c>
    </row>
    <row r="42" spans="1:11" x14ac:dyDescent="0.2">
      <c r="A42" s="15">
        <v>42460</v>
      </c>
      <c r="B42" s="13">
        <v>72</v>
      </c>
      <c r="C42" s="13">
        <v>46</v>
      </c>
      <c r="D42" s="13">
        <v>54</v>
      </c>
      <c r="E42" s="13">
        <v>108</v>
      </c>
      <c r="F42" s="13">
        <v>50</v>
      </c>
      <c r="G42" s="13">
        <v>27</v>
      </c>
      <c r="H42" s="13">
        <v>18</v>
      </c>
      <c r="I42" s="20">
        <v>0.5</v>
      </c>
      <c r="J42" s="13">
        <v>5.4</v>
      </c>
      <c r="K42" s="7">
        <f>mellomberegning!A39/1000</f>
        <v>4.6929999999999996</v>
      </c>
    </row>
    <row r="43" spans="1:11" x14ac:dyDescent="0.2">
      <c r="A43" s="15">
        <v>42369</v>
      </c>
      <c r="B43" s="13">
        <v>71</v>
      </c>
      <c r="C43" s="13">
        <v>46</v>
      </c>
      <c r="D43" s="13">
        <v>47</v>
      </c>
      <c r="E43" s="13">
        <v>107</v>
      </c>
      <c r="F43" s="13">
        <v>53</v>
      </c>
      <c r="G43" s="13">
        <v>26</v>
      </c>
      <c r="H43" s="13">
        <v>19</v>
      </c>
      <c r="I43" s="19">
        <v>0.4</v>
      </c>
      <c r="J43" s="13">
        <v>4.8</v>
      </c>
      <c r="K43" s="7">
        <f>mellomberegning!A40/1000</f>
        <v>7.0220000000000002</v>
      </c>
    </row>
    <row r="44" spans="1:11" x14ac:dyDescent="0.2">
      <c r="A44" s="15">
        <v>42277</v>
      </c>
      <c r="B44" s="13">
        <v>74</v>
      </c>
      <c r="C44" s="13">
        <v>53</v>
      </c>
      <c r="D44" s="13">
        <v>54</v>
      </c>
      <c r="E44" s="13">
        <v>116</v>
      </c>
      <c r="F44" s="13">
        <v>60</v>
      </c>
      <c r="G44" s="13">
        <v>28</v>
      </c>
      <c r="H44" s="13">
        <v>21</v>
      </c>
      <c r="I44" s="20">
        <v>0.6</v>
      </c>
      <c r="J44" s="13">
        <v>5</v>
      </c>
      <c r="K44" s="7">
        <f>mellomberegning!A41/1000</f>
        <v>6.056</v>
      </c>
    </row>
    <row r="45" spans="1:11" x14ac:dyDescent="0.2">
      <c r="A45" s="15">
        <v>42185</v>
      </c>
      <c r="B45" s="13">
        <v>77</v>
      </c>
      <c r="C45" s="13">
        <v>54</v>
      </c>
      <c r="D45" s="13">
        <v>42</v>
      </c>
      <c r="E45" s="13">
        <v>113</v>
      </c>
      <c r="F45" s="13">
        <v>61</v>
      </c>
      <c r="G45" s="13">
        <v>25</v>
      </c>
      <c r="H45" s="13">
        <v>16</v>
      </c>
      <c r="I45" s="19">
        <v>0.6</v>
      </c>
      <c r="J45" s="13">
        <v>5.4</v>
      </c>
      <c r="K45" s="7">
        <f>mellomberegning!A42/1000</f>
        <v>6.2709999999999999</v>
      </c>
    </row>
    <row r="46" spans="1:11" x14ac:dyDescent="0.2">
      <c r="A46" s="15">
        <v>42094</v>
      </c>
      <c r="B46" s="13">
        <v>81</v>
      </c>
      <c r="C46" s="13">
        <v>47</v>
      </c>
      <c r="D46" s="13">
        <v>43</v>
      </c>
      <c r="E46" s="13">
        <v>131</v>
      </c>
      <c r="F46" s="13">
        <v>71</v>
      </c>
      <c r="G46" s="13">
        <v>33</v>
      </c>
      <c r="H46" s="13">
        <v>18</v>
      </c>
      <c r="I46" s="20">
        <v>0.4</v>
      </c>
      <c r="J46" s="13">
        <v>5.5</v>
      </c>
      <c r="K46" s="7">
        <f>mellomberegning!A43/1000</f>
        <v>7.0220000000000002</v>
      </c>
    </row>
    <row r="47" spans="1:11" x14ac:dyDescent="0.2">
      <c r="A47" s="15">
        <v>42004</v>
      </c>
      <c r="B47" s="13">
        <v>77</v>
      </c>
      <c r="C47" s="13">
        <v>47</v>
      </c>
      <c r="D47" s="13">
        <v>43</v>
      </c>
      <c r="E47" s="13">
        <v>120</v>
      </c>
      <c r="F47" s="13">
        <v>59</v>
      </c>
      <c r="G47" s="13">
        <v>26</v>
      </c>
      <c r="H47" s="13">
        <v>21</v>
      </c>
      <c r="I47" s="19">
        <v>0.4</v>
      </c>
      <c r="J47" s="13">
        <v>5.5</v>
      </c>
      <c r="K47" s="7">
        <f>mellomberegning!A44/1000</f>
        <v>8.2810000000000006</v>
      </c>
    </row>
    <row r="48" spans="1:11" x14ac:dyDescent="0.2">
      <c r="A48" s="15">
        <v>41912</v>
      </c>
      <c r="B48" s="13">
        <v>66</v>
      </c>
      <c r="C48" s="13">
        <v>42</v>
      </c>
      <c r="D48" s="13">
        <v>36</v>
      </c>
      <c r="E48" s="13">
        <v>121</v>
      </c>
      <c r="F48" s="13">
        <v>56</v>
      </c>
      <c r="G48" s="13">
        <v>27</v>
      </c>
      <c r="H48" s="13">
        <v>17</v>
      </c>
      <c r="I48" s="20">
        <v>0.4</v>
      </c>
      <c r="J48" s="13">
        <v>6</v>
      </c>
      <c r="K48" s="7">
        <f>mellomberegning!A45/1000</f>
        <v>6.4550000000000001</v>
      </c>
    </row>
    <row r="49" spans="1:11" x14ac:dyDescent="0.2">
      <c r="A49" s="15">
        <v>41820</v>
      </c>
      <c r="B49" s="13">
        <v>77</v>
      </c>
      <c r="C49" s="13">
        <v>48</v>
      </c>
      <c r="D49" s="13">
        <v>55</v>
      </c>
      <c r="E49" s="13">
        <v>59</v>
      </c>
      <c r="F49" s="13">
        <v>59</v>
      </c>
      <c r="G49" s="13">
        <v>30</v>
      </c>
      <c r="H49" s="13">
        <v>24</v>
      </c>
      <c r="I49" s="19">
        <v>0.5</v>
      </c>
      <c r="J49" s="13">
        <v>7.9</v>
      </c>
      <c r="K49" s="7">
        <f>mellomberegning!A46/1000</f>
        <v>6.9119999999999999</v>
      </c>
    </row>
    <row r="50" spans="1:11" x14ac:dyDescent="0.2">
      <c r="A50" s="15">
        <v>41729</v>
      </c>
      <c r="B50" s="13">
        <v>82</v>
      </c>
      <c r="C50" s="13">
        <v>50</v>
      </c>
      <c r="D50" s="13">
        <v>42</v>
      </c>
      <c r="E50" s="13">
        <v>156</v>
      </c>
      <c r="F50" s="13">
        <v>84</v>
      </c>
      <c r="G50" s="13">
        <v>41</v>
      </c>
      <c r="H50" s="13">
        <v>23</v>
      </c>
      <c r="I50" s="21">
        <v>0.6</v>
      </c>
      <c r="J50" s="13">
        <v>9</v>
      </c>
      <c r="K50" s="7">
        <f>mellomberegning!A47/1000</f>
        <v>6.298</v>
      </c>
    </row>
  </sheetData>
  <mergeCells count="1">
    <mergeCell ref="F1:G1"/>
  </mergeCells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903BD-D594-734C-9EC9-2D0C101783EB}">
  <dimension ref="A1:A47"/>
  <sheetViews>
    <sheetView workbookViewId="0">
      <selection activeCell="B1" sqref="B1:B47"/>
    </sheetView>
  </sheetViews>
  <sheetFormatPr baseColWidth="10" defaultRowHeight="15" x14ac:dyDescent="0.2"/>
  <sheetData>
    <row r="1" spans="1:1" x14ac:dyDescent="0.2">
      <c r="A1" s="1">
        <v>9392</v>
      </c>
    </row>
    <row r="2" spans="1:1" x14ac:dyDescent="0.2">
      <c r="A2" s="2">
        <v>6697</v>
      </c>
    </row>
    <row r="3" spans="1:1" x14ac:dyDescent="0.2">
      <c r="A3" s="1">
        <v>9709</v>
      </c>
    </row>
    <row r="4" spans="1:1" x14ac:dyDescent="0.2">
      <c r="A4" s="2">
        <v>11483</v>
      </c>
    </row>
    <row r="5" spans="1:1" x14ac:dyDescent="0.2">
      <c r="A5" s="1">
        <v>14117</v>
      </c>
    </row>
    <row r="6" spans="1:1" x14ac:dyDescent="0.2">
      <c r="A6" s="2">
        <v>18667</v>
      </c>
    </row>
    <row r="7" spans="1:1" x14ac:dyDescent="0.2">
      <c r="A7" s="1">
        <v>12186</v>
      </c>
    </row>
    <row r="8" spans="1:1" x14ac:dyDescent="0.2">
      <c r="A8" s="2">
        <v>15157</v>
      </c>
    </row>
    <row r="9" spans="1:1" x14ac:dyDescent="0.2">
      <c r="A9" s="1">
        <v>11964</v>
      </c>
    </row>
    <row r="10" spans="1:1" x14ac:dyDescent="0.2">
      <c r="A10" s="2">
        <v>9775</v>
      </c>
    </row>
    <row r="11" spans="1:1" x14ac:dyDescent="0.2">
      <c r="A11" s="1">
        <v>9517</v>
      </c>
    </row>
    <row r="12" spans="1:1" x14ac:dyDescent="0.2">
      <c r="A12" s="2">
        <v>7816</v>
      </c>
    </row>
    <row r="13" spans="1:1" x14ac:dyDescent="0.2">
      <c r="A13" s="1">
        <v>7359</v>
      </c>
    </row>
    <row r="14" spans="1:1" x14ac:dyDescent="0.2">
      <c r="A14" s="2">
        <v>8164</v>
      </c>
    </row>
    <row r="15" spans="1:1" x14ac:dyDescent="0.2">
      <c r="A15" s="1">
        <v>11328</v>
      </c>
    </row>
    <row r="16" spans="1:1" x14ac:dyDescent="0.2">
      <c r="A16" s="2">
        <v>15468</v>
      </c>
    </row>
    <row r="17" spans="1:1" x14ac:dyDescent="0.2">
      <c r="A17" s="1">
        <v>17503</v>
      </c>
    </row>
    <row r="18" spans="1:1" x14ac:dyDescent="0.2">
      <c r="A18" s="2">
        <v>16594</v>
      </c>
    </row>
    <row r="19" spans="1:1" x14ac:dyDescent="0.2">
      <c r="A19" s="1">
        <v>15187</v>
      </c>
    </row>
    <row r="20" spans="1:1" x14ac:dyDescent="0.2">
      <c r="A20" s="2">
        <v>16610</v>
      </c>
    </row>
    <row r="21" spans="1:1" x14ac:dyDescent="0.2">
      <c r="A21" s="1">
        <v>14718</v>
      </c>
    </row>
    <row r="22" spans="1:1" x14ac:dyDescent="0.2">
      <c r="A22" s="2">
        <v>11255</v>
      </c>
    </row>
    <row r="23" spans="1:1" x14ac:dyDescent="0.2">
      <c r="A23" s="1">
        <v>9528</v>
      </c>
    </row>
    <row r="24" spans="1:1" x14ac:dyDescent="0.2">
      <c r="A24" s="2">
        <v>10104</v>
      </c>
    </row>
    <row r="25" spans="1:1" x14ac:dyDescent="0.2">
      <c r="A25" s="1">
        <v>10438</v>
      </c>
    </row>
    <row r="26" spans="1:1" x14ac:dyDescent="0.2">
      <c r="A26" s="2">
        <v>10937</v>
      </c>
    </row>
    <row r="27" spans="1:1" x14ac:dyDescent="0.2">
      <c r="A27" s="1">
        <v>9872</v>
      </c>
    </row>
    <row r="28" spans="1:1" x14ac:dyDescent="0.2">
      <c r="A28" s="2">
        <v>10640</v>
      </c>
    </row>
    <row r="29" spans="1:1" x14ac:dyDescent="0.2">
      <c r="A29" s="1">
        <v>6011</v>
      </c>
    </row>
    <row r="30" spans="1:1" x14ac:dyDescent="0.2">
      <c r="A30" s="2">
        <v>6548</v>
      </c>
    </row>
    <row r="31" spans="1:1" x14ac:dyDescent="0.2">
      <c r="A31" s="1">
        <v>6620</v>
      </c>
    </row>
    <row r="32" spans="1:1" x14ac:dyDescent="0.2">
      <c r="A32" s="2">
        <v>8475</v>
      </c>
    </row>
    <row r="33" spans="1:1" x14ac:dyDescent="0.2">
      <c r="A33" s="1">
        <v>7546</v>
      </c>
    </row>
    <row r="34" spans="1:1" x14ac:dyDescent="0.2">
      <c r="A34" s="2">
        <v>7740</v>
      </c>
    </row>
    <row r="35" spans="1:1" x14ac:dyDescent="0.2">
      <c r="A35" s="1">
        <v>6595</v>
      </c>
    </row>
    <row r="36" spans="1:1" x14ac:dyDescent="0.2">
      <c r="A36" s="2">
        <v>8285</v>
      </c>
    </row>
    <row r="37" spans="1:1" x14ac:dyDescent="0.2">
      <c r="A37" s="1">
        <v>7497</v>
      </c>
    </row>
    <row r="38" spans="1:1" x14ac:dyDescent="0.2">
      <c r="A38" s="2">
        <v>5986</v>
      </c>
    </row>
    <row r="39" spans="1:1" x14ac:dyDescent="0.2">
      <c r="A39" s="1">
        <v>4693</v>
      </c>
    </row>
    <row r="40" spans="1:1" x14ac:dyDescent="0.2">
      <c r="A40" s="3">
        <v>7022</v>
      </c>
    </row>
    <row r="41" spans="1:1" x14ac:dyDescent="0.2">
      <c r="A41" s="1">
        <v>6056</v>
      </c>
    </row>
    <row r="42" spans="1:1" x14ac:dyDescent="0.2">
      <c r="A42" s="2">
        <v>6271</v>
      </c>
    </row>
    <row r="43" spans="1:1" x14ac:dyDescent="0.2">
      <c r="A43" s="1">
        <v>7022</v>
      </c>
    </row>
    <row r="44" spans="1:1" x14ac:dyDescent="0.2">
      <c r="A44" s="3">
        <v>8281</v>
      </c>
    </row>
    <row r="45" spans="1:1" x14ac:dyDescent="0.2">
      <c r="A45" s="1">
        <v>6455</v>
      </c>
    </row>
    <row r="46" spans="1:1" x14ac:dyDescent="0.2">
      <c r="A46" s="2">
        <v>6912</v>
      </c>
    </row>
    <row r="47" spans="1:1" x14ac:dyDescent="0.2">
      <c r="A47" s="4">
        <v>6298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new</vt:lpstr>
      <vt:lpstr>gammel</vt:lpstr>
      <vt:lpstr>mellomberegning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Rasmus Thorbjørnsen</dc:creator>
  <cp:keywords/>
  <dc:description/>
  <cp:lastModifiedBy>Alexander Kittikorn Ski</cp:lastModifiedBy>
  <cp:revision/>
  <dcterms:created xsi:type="dcterms:W3CDTF">2026-01-11T11:18:05Z</dcterms:created>
  <dcterms:modified xsi:type="dcterms:W3CDTF">2026-03-19T06:26:36Z</dcterms:modified>
  <cp:category/>
  <cp:contentStatus/>
</cp:coreProperties>
</file>